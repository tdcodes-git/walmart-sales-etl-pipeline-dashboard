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touheed.hussain\Desktop\Excel Project\"/>
    </mc:Choice>
  </mc:AlternateContent>
  <xr:revisionPtr revIDLastSave="0" documentId="8_{192D9057-2EB9-4C75-A7D0-1903D7EF4BB6}" xr6:coauthVersionLast="47" xr6:coauthVersionMax="47" xr10:uidLastSave="{00000000-0000-0000-0000-000000000000}"/>
  <bookViews>
    <workbookView xWindow="-110" yWindow="-110" windowWidth="25820" windowHeight="14020" activeTab="3" xr2:uid="{00000000-000D-0000-FFFF-FFFF00000000}"/>
  </bookViews>
  <sheets>
    <sheet name="Project Overview" sheetId="8" r:id="rId1"/>
    <sheet name="Dashboard" sheetId="7" r:id="rId2"/>
    <sheet name="Data_Cleaning" sheetId="3" r:id="rId3"/>
    <sheet name="Pivot_Analysis" sheetId="5" r:id="rId4"/>
    <sheet name="Raw Sales Data" sheetId="1" r:id="rId5"/>
  </sheets>
  <definedNames>
    <definedName name="_xlnm._FilterDatabase" localSheetId="4" hidden="1">'Raw Sales Data'!$A$1:$H$434</definedName>
    <definedName name="ExternalData_1" localSheetId="2" hidden="1">Data_Cleaning!$A$1:$H$384</definedName>
    <definedName name="_xlnm.Extract" localSheetId="4">'Raw Sales Data'!$I$2:$P$2</definedName>
    <definedName name="Slicer_Years__Date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G6" i="5"/>
  <c r="J9" i="7" a="1"/>
  <c r="J9" i="7" s="1"/>
  <c r="G18" i="7"/>
  <c r="I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343685-82CA-42DA-9866-3A9433A5DF94}" keepAlive="1" name="Query - Cleaned_Data_Query" description="Connection to the 'Cleaned_Data_Query' query in the workbook." type="5" refreshedVersion="8" background="1" saveData="1">
    <dbPr connection="Provider=Microsoft.Mashup.OleDb.1;Data Source=$Workbook$;Location=Cleaned_Data_Query;Extended Properties=&quot;&quot;" command="SELECT * FROM [Cleaned_Data_Query]"/>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<sst xmlns="http://schemas.openxmlformats.org/spreadsheetml/2006/main" count="344" uniqueCount="146">
  <si>
    <t>Store</t>
  </si>
  <si>
    <t>Date</t>
  </si>
  <si>
    <t>Weekly_Sales</t>
  </si>
  <si>
    <t>Holiday_Flag</t>
  </si>
  <si>
    <t>Temperature</t>
  </si>
  <si>
    <t>Fuel_Price</t>
  </si>
  <si>
    <t>CPI</t>
  </si>
  <si>
    <t>Unemployment</t>
  </si>
  <si>
    <t>19-02-2010</t>
  </si>
  <si>
    <t>26-02-2010</t>
  </si>
  <si>
    <t>19-03-2010</t>
  </si>
  <si>
    <t>26-03-2010</t>
  </si>
  <si>
    <t>16-04-2010</t>
  </si>
  <si>
    <t>23-04-2010</t>
  </si>
  <si>
    <t>30-04-2010</t>
  </si>
  <si>
    <t>14-05-2010</t>
  </si>
  <si>
    <t>21-05-2010</t>
  </si>
  <si>
    <t>28-05-2010</t>
  </si>
  <si>
    <t>18-06-2010</t>
  </si>
  <si>
    <t>25-06-2010</t>
  </si>
  <si>
    <t>16-07-2010</t>
  </si>
  <si>
    <t>23-07-2010</t>
  </si>
  <si>
    <t>30-07-2010</t>
  </si>
  <si>
    <t>13-08-2010</t>
  </si>
  <si>
    <t>20-08-2010</t>
  </si>
  <si>
    <t>27-08-2010</t>
  </si>
  <si>
    <t>17-09-2010</t>
  </si>
  <si>
    <t>24-09-2010</t>
  </si>
  <si>
    <t>15-10-2010</t>
  </si>
  <si>
    <t>22-10-2010</t>
  </si>
  <si>
    <t>29-10-2010</t>
  </si>
  <si>
    <t>19-11-2010</t>
  </si>
  <si>
    <t>26-11-2010</t>
  </si>
  <si>
    <t>17-12-2010</t>
  </si>
  <si>
    <t>24-12-2010</t>
  </si>
  <si>
    <t>31-12-2010</t>
  </si>
  <si>
    <t>14-01-2011</t>
  </si>
  <si>
    <t>21-01-2011</t>
  </si>
  <si>
    <t>28-01-2011</t>
  </si>
  <si>
    <t>18-02-2011</t>
  </si>
  <si>
    <t>25-02-2011</t>
  </si>
  <si>
    <t>18-03-2011</t>
  </si>
  <si>
    <t>25-03-2011</t>
  </si>
  <si>
    <t>15-04-2011</t>
  </si>
  <si>
    <t>22-04-2011</t>
  </si>
  <si>
    <t>29-04-2011</t>
  </si>
  <si>
    <t>13-05-2011</t>
  </si>
  <si>
    <t>20-05-2011</t>
  </si>
  <si>
    <t>27-05-2011</t>
  </si>
  <si>
    <t>17-06-2011</t>
  </si>
  <si>
    <t>24-06-2011</t>
  </si>
  <si>
    <t>15-07-2011</t>
  </si>
  <si>
    <t>22-07-2011</t>
  </si>
  <si>
    <t>29-07-2011</t>
  </si>
  <si>
    <t>19-08-2011</t>
  </si>
  <si>
    <t>26-08-2011</t>
  </si>
  <si>
    <t>16-09-2011</t>
  </si>
  <si>
    <t>23-09-2011</t>
  </si>
  <si>
    <t>30-09-2011</t>
  </si>
  <si>
    <t>14-10-2011</t>
  </si>
  <si>
    <t>21-10-2011</t>
  </si>
  <si>
    <t>28-10-2011</t>
  </si>
  <si>
    <t>18-11-2011</t>
  </si>
  <si>
    <t>25-11-2011</t>
  </si>
  <si>
    <t>16-12-2011</t>
  </si>
  <si>
    <t>23-12-2011</t>
  </si>
  <si>
    <t>30-12-2011</t>
  </si>
  <si>
    <t>13-01-2012</t>
  </si>
  <si>
    <t>20-01-2012</t>
  </si>
  <si>
    <t>27-01-2012</t>
  </si>
  <si>
    <t>17-02-2012</t>
  </si>
  <si>
    <t>24-02-2012</t>
  </si>
  <si>
    <t>16-03-2012</t>
  </si>
  <si>
    <t>23-03-2012</t>
  </si>
  <si>
    <t>30-03-2012</t>
  </si>
  <si>
    <t>13-04-2012</t>
  </si>
  <si>
    <t>20-04-2012</t>
  </si>
  <si>
    <t>27-04-2012</t>
  </si>
  <si>
    <t>18-05-2012</t>
  </si>
  <si>
    <t>25-05-2012</t>
  </si>
  <si>
    <t>15-06-2012</t>
  </si>
  <si>
    <t>22-06-2012</t>
  </si>
  <si>
    <t>29-06-2012</t>
  </si>
  <si>
    <t>13-07-2012</t>
  </si>
  <si>
    <t>20-07-2012</t>
  </si>
  <si>
    <t>27-07-2012</t>
  </si>
  <si>
    <t>17-08-2012</t>
  </si>
  <si>
    <t>24-08-2012</t>
  </si>
  <si>
    <t>31-08-2012</t>
  </si>
  <si>
    <t>14-09-2012</t>
  </si>
  <si>
    <t>21-09-2012</t>
  </si>
  <si>
    <t>28-09-2012</t>
  </si>
  <si>
    <t>19-10-2012</t>
  </si>
  <si>
    <t>26-10-2012</t>
  </si>
  <si>
    <t>Yes</t>
  </si>
  <si>
    <t>No</t>
  </si>
  <si>
    <t>YES</t>
  </si>
  <si>
    <t>NO</t>
  </si>
  <si>
    <t>no</t>
  </si>
  <si>
    <t>yes</t>
  </si>
  <si>
    <t>YEs</t>
  </si>
  <si>
    <t>5000 USD</t>
  </si>
  <si>
    <t>Thirty Thousand</t>
  </si>
  <si>
    <t>18000 USD</t>
  </si>
  <si>
    <t>HOT</t>
  </si>
  <si>
    <t>COLD</t>
  </si>
  <si>
    <t>Hot</t>
  </si>
  <si>
    <t>Cold</t>
  </si>
  <si>
    <t>Three</t>
  </si>
  <si>
    <t>Two</t>
  </si>
  <si>
    <t>Grand Total</t>
  </si>
  <si>
    <t>Sum of Weekly_Sales</t>
  </si>
  <si>
    <t>Walmart Sales Analysis (Pivot Summary)</t>
  </si>
  <si>
    <t>Executive Summary</t>
  </si>
  <si>
    <t>•    Store 2 is the highest revenue contributor</t>
  </si>
  <si>
    <t>•    Sales peaked in 2011 with moderate fluctuations afterward</t>
  </si>
  <si>
    <t>•    Holiday periods show a clear impact on sales</t>
  </si>
  <si>
    <t>Sales analysis reveals uneven performance across stores, with a few locations driving the majority of revenue. Holiday periods influence demand patterns, and yearly trends show moderate fluctuation with a peak in 2011.</t>
  </si>
  <si>
    <t>Row Labels</t>
  </si>
  <si>
    <t>Average of Weekly_Sales</t>
  </si>
  <si>
    <t>TOP PERFORMING STORE</t>
  </si>
  <si>
    <t>Holiday_Type</t>
  </si>
  <si>
    <t>Holiday</t>
  </si>
  <si>
    <t>Non-Holiday</t>
  </si>
  <si>
    <t>2.514-2.764</t>
  </si>
  <si>
    <t>2.764-3.014</t>
  </si>
  <si>
    <t>3.014-3.264</t>
  </si>
  <si>
    <t>3.264-3.514</t>
  </si>
  <si>
    <t>3.514-3.764</t>
  </si>
  <si>
    <t>3.764-4.014</t>
  </si>
  <si>
    <t>Fuel_Price ($)</t>
  </si>
  <si>
    <t>2010</t>
  </si>
  <si>
    <t>Jan</t>
  </si>
  <si>
    <t>Feb</t>
  </si>
  <si>
    <t>Mar</t>
  </si>
  <si>
    <t>Apr</t>
  </si>
  <si>
    <t>May</t>
  </si>
  <si>
    <t>Jun</t>
  </si>
  <si>
    <t>Jul</t>
  </si>
  <si>
    <t>Aug</t>
  </si>
  <si>
    <t>Sep</t>
  </si>
  <si>
    <t>Oct</t>
  </si>
  <si>
    <t>Nov</t>
  </si>
  <si>
    <t>Dec</t>
  </si>
  <si>
    <t>Years (Date)</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</si>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</sst>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00,,&quot; M&quot;_);_(&quot;$&quot;* \(#,##0.00,,&quot; M&quot;\);_(&quot;$&quot;* &quot;-&quot;??_);_(@_)"/>
  </numFmts>
  <fonts count="14" x14ac:knownFonts="1">
    <font>
      <sz val="11"/>
      <color theme="1"/>
      <name val="Calibri"/>
      <family val="2"/>
      <scheme val="minor"/>
    </font>
    <font>
      <sz val="8"/>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sz val="11"/>
      <color theme="1"/>
      <name val="Calibri"/>
      <family val="2"/>
      <scheme val="minor"/>
    </font>
    <font>
      <sz val="14"/>
      <color theme="1"/>
      <name val="Calibri"/>
      <family val="2"/>
      <scheme val="minor"/>
    </font>
    <font>
      <b/>
      <sz val="14"/>
      <color theme="1"/>
      <name val="Calibri"/>
      <family val="2"/>
      <scheme val="minor"/>
    </font>
    <font>
      <b/>
      <sz val="22"/>
      <color rgb="FF1F4E79"/>
      <name val="Segoe UI"/>
      <family val="2"/>
    </font>
    <font>
      <b/>
      <sz val="13.5"/>
      <color theme="1"/>
      <name val="Calibri"/>
      <family val="2"/>
      <scheme val="minor"/>
    </font>
    <font>
      <b/>
      <sz val="11"/>
      <color theme="1"/>
      <name val="Aptos"/>
      <family val="2"/>
    </font>
    <font>
      <b/>
      <sz val="22"/>
      <color theme="0"/>
      <name val="Aptos"/>
      <family val="2"/>
    </font>
    <font>
      <sz val="6"/>
      <color rgb="FFE3E3E3"/>
      <name val="Courier New"/>
      <family val="3"/>
    </font>
    <font>
      <b/>
      <sz val="14"/>
      <color theme="1"/>
      <name val="Aptos Display"/>
      <family val="2"/>
    </font>
  </fonts>
  <fills count="7">
    <fill>
      <patternFill patternType="none"/>
    </fill>
    <fill>
      <patternFill patternType="gray125"/>
    </fill>
    <fill>
      <patternFill patternType="solid">
        <fgColor theme="8" tint="0.79998168889431442"/>
        <bgColor indexed="65"/>
      </patternFill>
    </fill>
    <fill>
      <patternFill patternType="solid">
        <fgColor theme="0"/>
        <bgColor indexed="64"/>
      </patternFill>
    </fill>
    <fill>
      <patternFill patternType="solid">
        <fgColor rgb="FFD9E1F2"/>
        <bgColor indexed="64"/>
      </patternFill>
    </fill>
    <fill>
      <patternFill patternType="solid">
        <fgColor rgb="FF071028"/>
        <bgColor indexed="64"/>
      </patternFill>
    </fill>
    <fill>
      <patternFill patternType="solid">
        <fgColor rgb="FF0B1120"/>
        <bgColor indexed="64"/>
      </patternFill>
    </fill>
  </fills>
  <borders count="2">
    <border>
      <left/>
      <right/>
      <top/>
      <bottom/>
      <diagonal/>
    </border>
    <border>
      <left/>
      <right/>
      <top/>
      <bottom style="thick">
        <color theme="4"/>
      </bottom>
      <diagonal/>
    </border>
  </borders>
  <cellStyleXfs count="3">
    <xf numFmtId="0" fontId="0" fillId="0" borderId="0"/>
    <xf numFmtId="0" fontId="5" fillId="2" borderId="0" applyNumberFormat="0" applyBorder="0" applyAlignment="0" applyProtection="0"/>
    <xf numFmtId="0" fontId="8" fillId="0" borderId="1">
      <alignment horizontal="center"/>
    </xf>
  </cellStyleXfs>
  <cellXfs count="33">
    <xf numFmtId="0" fontId="0" fillId="0" borderId="0" xfId="0"/>
    <xf numFmtId="14" fontId="0" fillId="0" borderId="0" xfId="0" applyNumberFormat="1"/>
    <xf numFmtId="0" fontId="0" fillId="0" borderId="0" xfId="0" applyAlignment="1">
      <alignment horizontal="left"/>
    </xf>
    <xf numFmtId="0" fontId="2" fillId="0" borderId="0" xfId="0" applyFont="1"/>
    <xf numFmtId="0" fontId="3" fillId="0" borderId="0" xfId="0" applyFont="1" applyAlignment="1">
      <alignment horizontal="left"/>
    </xf>
    <xf numFmtId="0" fontId="6" fillId="0" borderId="0" xfId="0" applyFont="1"/>
    <xf numFmtId="0" fontId="7" fillId="0" borderId="0" xfId="0" applyFont="1" applyAlignment="1">
      <alignment vertical="center"/>
    </xf>
    <xf numFmtId="0" fontId="3" fillId="0" borderId="0" xfId="0" applyFont="1" applyAlignment="1">
      <alignment vertical="top"/>
    </xf>
    <xf numFmtId="0" fontId="0" fillId="0" borderId="0" xfId="0" applyAlignment="1">
      <alignment vertical="top"/>
    </xf>
    <xf numFmtId="0" fontId="4" fillId="0" borderId="0" xfId="0" applyFont="1" applyAlignment="1">
      <alignment vertical="top" wrapText="1"/>
    </xf>
    <xf numFmtId="0" fontId="0" fillId="3" borderId="0" xfId="0" applyFill="1" applyAlignment="1">
      <alignment vertical="top"/>
    </xf>
    <xf numFmtId="49" fontId="0" fillId="0" borderId="0" xfId="0" applyNumberFormat="1"/>
    <xf numFmtId="0" fontId="0" fillId="5" borderId="0" xfId="0" applyFill="1"/>
    <xf numFmtId="0" fontId="0" fillId="0" borderId="0" xfId="0" pivotButton="1"/>
    <xf numFmtId="164" fontId="0" fillId="0" borderId="0" xfId="0" applyNumberFormat="1"/>
    <xf numFmtId="0" fontId="7" fillId="4" borderId="0" xfId="0" applyFont="1" applyFill="1" applyAlignment="1">
      <alignment horizontal="left" vertical="center"/>
    </xf>
    <xf numFmtId="3" fontId="0" fillId="0" borderId="0" xfId="0" pivotButton="1" applyNumberFormat="1"/>
    <xf numFmtId="0" fontId="0" fillId="0" borderId="0" xfId="0" applyAlignment="1">
      <alignment horizontal="center"/>
    </xf>
    <xf numFmtId="0" fontId="11" fillId="6" borderId="0" xfId="0" applyFont="1" applyFill="1" applyAlignment="1">
      <alignment vertical="top"/>
    </xf>
    <xf numFmtId="0" fontId="0" fillId="6" borderId="0" xfId="0" applyFill="1"/>
    <xf numFmtId="0" fontId="9" fillId="6" borderId="0" xfId="0" applyFont="1" applyFill="1" applyAlignment="1">
      <alignment vertical="center"/>
    </xf>
    <xf numFmtId="0" fontId="0" fillId="6" borderId="0" xfId="0" applyFill="1" applyAlignment="1">
      <alignment horizontal="left" vertical="center" indent="1"/>
    </xf>
    <xf numFmtId="0" fontId="0" fillId="6" borderId="0" xfId="0" applyFill="1" applyAlignment="1">
      <alignment horizontal="center" vertical="top"/>
    </xf>
    <xf numFmtId="0" fontId="0" fillId="6" borderId="0" xfId="0" applyFill="1" applyAlignment="1">
      <alignment horizontal="center" vertical="center"/>
    </xf>
    <xf numFmtId="0" fontId="12" fillId="6" borderId="0" xfId="0" applyFont="1" applyFill="1"/>
    <xf numFmtId="0" fontId="0" fillId="0" borderId="0" xfId="0" applyBorder="1"/>
    <xf numFmtId="0" fontId="10" fillId="0" borderId="0" xfId="0" applyFont="1" applyAlignment="1">
      <alignment horizontal="left" vertical="top" wrapText="1"/>
    </xf>
    <xf numFmtId="0" fontId="10" fillId="3" borderId="0" xfId="0" applyFont="1" applyFill="1" applyAlignment="1">
      <alignment vertical="top"/>
    </xf>
    <xf numFmtId="0" fontId="10" fillId="0" borderId="0" xfId="0" applyFont="1"/>
    <xf numFmtId="0" fontId="13" fillId="4" borderId="0" xfId="0" applyFont="1" applyFill="1" applyAlignment="1">
      <alignment horizontal="left" vertical="center"/>
    </xf>
    <xf numFmtId="0" fontId="13" fillId="4" borderId="0" xfId="0" applyFont="1" applyFill="1" applyAlignment="1">
      <alignment horizontal="left" vertical="center"/>
    </xf>
    <xf numFmtId="0" fontId="7" fillId="2" borderId="0" xfId="1" applyFont="1" applyBorder="1" applyAlignment="1">
      <alignment horizontal="center" vertical="center"/>
    </xf>
    <xf numFmtId="0" fontId="7" fillId="2" borderId="1" xfId="1" applyFont="1" applyBorder="1" applyAlignment="1">
      <alignment horizontal="center" vertical="center"/>
    </xf>
  </cellXfs>
  <cellStyles count="3">
    <cellStyle name="20% - Accent5" xfId="1" builtinId="46"/>
    <cellStyle name="custom_style" xfId="2" xr:uid="{7F1FFC0E-3C82-4F97-AE60-D3385AB23CBD}"/>
    <cellStyle name="Normal" xfId="0" builtinId="0"/>
  </cellStyles>
  <dxfs count="11">
    <dxf>
      <border>
        <left style="thin">
          <color rgb="FF9C0006"/>
        </left>
        <right style="thin">
          <color rgb="FF9C0006"/>
        </right>
        <top style="thin">
          <color rgb="FF9C0006"/>
        </top>
        <bottom style="thin">
          <color rgb="FF9C0006"/>
        </bottom>
      </border>
    </dxf>
    <dxf>
      <numFmt numFmtId="164" formatCode="_(&quot;$&quot;* #,##0.00,,&quot; M&quot;_);_(&quot;$&quot;* \(#,##0.00,,&quot; M&quot;\);_(&quot;$&quot;* &quot;-&quot;??_);_(@_)"/>
    </dxf>
    <dxf>
      <numFmt numFmtId="0" formatCode="General"/>
    </dxf>
    <dxf>
      <numFmt numFmtId="19" formatCode="m/d/yyyy"/>
    </dxf>
    <dxf>
      <numFmt numFmtId="164" formatCode="_(&quot;$&quot;* #,##0.00,,&quot; M&quot;_);_(&quot;$&quot;* \(#,##0.00,,&quot; M&quot;\);_(&quot;$&quot;* &quot;-&quot;??_);_(@_)"/>
    </dxf>
    <dxf>
      <numFmt numFmtId="164" formatCode="_(&quot;$&quot;* #,##0.00,,&quot; M&quot;_);_(&quot;$&quot;* \(#,##0.00,,&quot; M&quot;\);_(&quot;$&quot;* &quot;-&quot;??_);_(@_)"/>
    </dxf>
    <dxf>
      <numFmt numFmtId="164" formatCode="_(&quot;$&quot;* #,##0.00,,&quot; M&quot;_);_(&quot;$&quot;* \(#,##0.00,,&quot; M&quot;\);_(&quot;$&quot;* &quot;-&quot;??_);_(@_)"/>
    </dxf>
    <dxf>
      <numFmt numFmtId="3" formatCode="#,##0"/>
    </dxf>
    <dxf>
      <numFmt numFmtId="164" formatCode="_(&quot;$&quot;* #,##0.00,,&quot; M&quot;_);_(&quot;$&quot;* \(#,##0.00,,&quot; M&quot;\);_(&quot;$&quot;* &quot;-&quot;??_);_(@_)"/>
    </dxf>
    <dxf>
      <numFmt numFmtId="164" formatCode="_(&quot;$&quot;* #,##0.00,,&quot; M&quot;_);_(&quot;$&quot;* \(#,##0.00,,&quot; M&quot;\);_(&quot;$&quot;* &quot;-&quot;??_);_(@_)"/>
    </dxf>
    <dxf>
      <font>
        <b val="0"/>
        <i val="0"/>
        <strike val="0"/>
        <u val="none"/>
        <sz val="11"/>
        <color theme="0"/>
        <name val="Segoe UI Black"/>
        <family val="2"/>
        <scheme val="none"/>
      </font>
      <fill>
        <patternFill>
          <bgColor rgb="FF071028"/>
        </patternFill>
      </fill>
      <border diagonalUp="0" diagonalDown="0">
        <left/>
        <right/>
        <top/>
        <bottom/>
        <vertical/>
        <horizontal/>
      </border>
    </dxf>
  </dxfs>
  <tableStyles count="1" defaultTableStyle="TableStyleMedium2" defaultPivotStyle="PivotStyleLight16">
    <tableStyle name="Slicer Style 2" pivot="0" table="0" count="2" xr9:uid="{5F23FD31-F6F3-48CA-B4A9-FB5C713F4464}">
      <tableStyleElement type="wholeTable" dxfId="10"/>
    </tableStyle>
  </tableStyles>
  <colors>
    <mruColors>
      <color rgb="FF071739"/>
      <color rgb="FF102B63"/>
      <color rgb="FF172544"/>
      <color rgb="FF061226"/>
      <color rgb="FF246BFD"/>
      <color rgb="FF4A90E2"/>
      <color rgb="FFFF0066"/>
      <color rgb="FFC7D2FE"/>
      <color rgb="FF111C34"/>
      <color rgb="FF0B1120"/>
    </mruColors>
  </colors>
  <extLst>
    <ext xmlns:x14="http://schemas.microsoft.com/office/spreadsheetml/2009/9/main" uri="{46F421CA-312F-682f-3DD2-61675219B42D}">
      <x14:dxfs count="1">
        <dxf>
          <font>
            <b/>
            <i val="0"/>
            <sz val="11"/>
            <color theme="0"/>
            <name val="Segoe UI"/>
            <family val="2"/>
          </font>
          <fill>
            <patternFill>
              <bgColor rgb="FFFFC000"/>
            </patternFill>
          </fill>
        </dxf>
      </x14:dxfs>
    </ext>
    <ext xmlns:x14="http://schemas.microsoft.com/office/spreadsheetml/2009/9/main" uri="{EB79DEF2-80B8-43e5-95BD-54CBDDF9020C}">
      <x14:slicerStyles defaultSlicerStyle="SlicerStyleLight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bg2">
                    <a:lumMod val="90000"/>
                  </a:schemeClr>
                </a:solidFill>
                <a:latin typeface="Segoe UI" panose="020B0502040204020203" pitchFamily="34" charset="0"/>
                <a:ea typeface="+mn-ea"/>
                <a:cs typeface="Segoe UI" panose="020B0502040204020203" pitchFamily="34" charset="0"/>
              </a:defRPr>
            </a:pPr>
            <a:r>
              <a:rPr lang="en-US" sz="1100" b="1">
                <a:solidFill>
                  <a:schemeClr val="bg2">
                    <a:lumMod val="90000"/>
                  </a:schemeClr>
                </a:solidFill>
                <a:latin typeface="Segoe UI" panose="020B0502040204020203" pitchFamily="34" charset="0"/>
                <a:cs typeface="Segoe UI" panose="020B0502040204020203" pitchFamily="34" charset="0"/>
              </a:rPr>
              <a:t>Store</a:t>
            </a:r>
            <a:r>
              <a:rPr lang="en-US" sz="1100" b="1" baseline="0">
                <a:solidFill>
                  <a:schemeClr val="bg2">
                    <a:lumMod val="90000"/>
                  </a:schemeClr>
                </a:solidFill>
                <a:latin typeface="Segoe UI" panose="020B0502040204020203" pitchFamily="34" charset="0"/>
                <a:cs typeface="Segoe UI" panose="020B0502040204020203" pitchFamily="34" charset="0"/>
              </a:rPr>
              <a:t> Performance</a:t>
            </a:r>
            <a:endParaRPr lang="en-US" sz="1100" b="1">
              <a:solidFill>
                <a:schemeClr val="bg2">
                  <a:lumMod val="90000"/>
                </a:schemeClr>
              </a:solidFill>
              <a:latin typeface="Segoe UI" panose="020B0502040204020203" pitchFamily="34" charset="0"/>
              <a:cs typeface="Segoe UI" panose="020B0502040204020203" pitchFamily="34" charset="0"/>
            </a:endParaRPr>
          </a:p>
        </c:rich>
      </c:tx>
      <c:overlay val="1"/>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ysClr val="window" lastClr="FFFFFF"/>
          </a:solidFill>
          <a:ln>
            <a:solidFill>
              <a:srgbClr val="FFFFFF"/>
            </a:solidFill>
          </a:ln>
          <a:effectLst/>
        </c:spPr>
      </c:pivotFmt>
      <c:pivotFmt>
        <c:idx val="8"/>
        <c:spPr>
          <a:solidFill>
            <a:sysClr val="window" lastClr="FFFFFF"/>
          </a:solidFill>
          <a:ln>
            <a:noFill/>
          </a:ln>
          <a:effectLst/>
        </c:spPr>
      </c:pivotFmt>
      <c:pivotFmt>
        <c:idx val="9"/>
        <c:spPr>
          <a:solidFill>
            <a:schemeClr val="bg1"/>
          </a:solidFill>
          <a:ln>
            <a:solidFill>
              <a:schemeClr val="bg1"/>
            </a:solidFill>
          </a:ln>
          <a:effectLst/>
        </c:spPr>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ysClr val="window" lastClr="FFFFFF"/>
          </a:solidFill>
          <a:ln>
            <a:solidFill>
              <a:srgbClr val="FFFFFF"/>
            </a:solidFill>
          </a:ln>
          <a:effectLst/>
        </c:spPr>
      </c:pivotFmt>
      <c:pivotFmt>
        <c:idx val="16"/>
        <c:spPr>
          <a:solidFill>
            <a:schemeClr val="bg1"/>
          </a:solidFill>
          <a:ln>
            <a:solidFill>
              <a:schemeClr val="bg1"/>
            </a:solidFill>
          </a:ln>
          <a:effectLst/>
        </c:spPr>
      </c:pivotFmt>
      <c:pivotFmt>
        <c:idx val="17"/>
        <c:spPr>
          <a:solidFill>
            <a:sysClr val="window" lastClr="FFFFFF"/>
          </a:solidFill>
          <a:ln>
            <a:noFill/>
          </a:ln>
          <a:effectLst/>
        </c:spPr>
      </c:pivotFmt>
      <c:pivotFmt>
        <c:idx val="18"/>
        <c:spPr>
          <a:solidFill>
            <a:srgbClr val="FFC000"/>
          </a:solidFill>
        </c:spPr>
        <c:marker>
          <c:symbol val="none"/>
        </c:marker>
        <c:dLbl>
          <c:idx val="0"/>
          <c:delete val="1"/>
          <c:extLst>
            <c:ext xmlns:c15="http://schemas.microsoft.com/office/drawing/2012/chart" uri="{CE6537A1-D6FC-4f65-9D91-7224C49458BB}"/>
          </c:extLst>
        </c:dLbl>
      </c:pivotFmt>
      <c:pivotFmt>
        <c:idx val="19"/>
        <c:spPr>
          <a:solidFill>
            <a:srgbClr val="041E42"/>
          </a:solidFill>
          <a:ln>
            <a:noFill/>
          </a:ln>
          <a:effectLst/>
        </c:spPr>
      </c:pivotFmt>
      <c:pivotFmt>
        <c:idx val="20"/>
        <c:spPr>
          <a:solidFill>
            <a:srgbClr val="0071CE"/>
          </a:solidFill>
          <a:ln>
            <a:noFill/>
          </a:ln>
          <a:effectLst/>
        </c:spPr>
      </c:pivotFmt>
      <c:pivotFmt>
        <c:idx val="21"/>
        <c:spPr>
          <a:solidFill>
            <a:srgbClr val="FFC220"/>
          </a:solidFill>
          <a:ln>
            <a:noFill/>
          </a:ln>
          <a:effectLst/>
        </c:spPr>
      </c:pivotFmt>
      <c:pivotFmt>
        <c:idx val="22"/>
        <c:spPr>
          <a:noFill/>
          <a:ln>
            <a:noFill/>
          </a:ln>
        </c:spPr>
        <c:marker>
          <c:symbol val="none"/>
        </c:marker>
        <c:dLbl>
          <c:idx val="0"/>
          <c:delete val="1"/>
          <c:extLst>
            <c:ext xmlns:c15="http://schemas.microsoft.com/office/drawing/2012/chart" uri="{CE6537A1-D6FC-4f65-9D91-7224C49458BB}"/>
          </c:extLst>
        </c:dLbl>
      </c:pivotFmt>
      <c:pivotFmt>
        <c:idx val="23"/>
        <c:spPr>
          <a:noFill/>
          <a:ln>
            <a:noFill/>
          </a:ln>
          <a:effectLst/>
        </c:spPr>
      </c:pivotFmt>
      <c:pivotFmt>
        <c:idx val="24"/>
        <c:spPr>
          <a:noFill/>
          <a:ln>
            <a:noFill/>
          </a:ln>
          <a:effectLst/>
        </c:spPr>
      </c:pivotFmt>
      <c:pivotFmt>
        <c:idx val="25"/>
        <c:spPr>
          <a:noFill/>
          <a:ln>
            <a:noFill/>
          </a:ln>
          <a:effectLst/>
        </c:spPr>
      </c:pivotFmt>
    </c:pivotFmts>
    <c:plotArea>
      <c:layout/>
      <c:doughnutChart>
        <c:varyColors val="1"/>
        <c:ser>
          <c:idx val="0"/>
          <c:order val="0"/>
          <c:tx>
            <c:v>Series1</c:v>
          </c:tx>
          <c:spPr>
            <a:solidFill>
              <a:srgbClr val="FFC000"/>
            </a:solidFill>
          </c:spPr>
          <c:dPt>
            <c:idx val="0"/>
            <c:bubble3D val="0"/>
            <c:spPr>
              <a:solidFill>
                <a:srgbClr val="041E42"/>
              </a:solidFill>
              <a:ln>
                <a:noFill/>
              </a:ln>
              <a:effectLst/>
            </c:spPr>
            <c:extLst>
              <c:ext xmlns:c16="http://schemas.microsoft.com/office/drawing/2014/chart" uri="{C3380CC4-5D6E-409C-BE32-E72D297353CC}">
                <c16:uniqueId val="{00000001-8670-4931-854D-FFF498E77859}"/>
              </c:ext>
            </c:extLst>
          </c:dPt>
          <c:dPt>
            <c:idx val="1"/>
            <c:bubble3D val="0"/>
            <c:spPr>
              <a:solidFill>
                <a:srgbClr val="0071CE"/>
              </a:solidFill>
              <a:ln>
                <a:noFill/>
              </a:ln>
              <a:effectLst/>
            </c:spPr>
            <c:extLst>
              <c:ext xmlns:c16="http://schemas.microsoft.com/office/drawing/2014/chart" uri="{C3380CC4-5D6E-409C-BE32-E72D297353CC}">
                <c16:uniqueId val="{00000003-8670-4931-854D-FFF498E77859}"/>
              </c:ext>
            </c:extLst>
          </c:dPt>
          <c:dPt>
            <c:idx val="2"/>
            <c:bubble3D val="0"/>
            <c:spPr>
              <a:solidFill>
                <a:srgbClr val="FFC220"/>
              </a:solidFill>
              <a:ln>
                <a:noFill/>
              </a:ln>
              <a:effectLst/>
            </c:spPr>
            <c:extLst>
              <c:ext xmlns:c16="http://schemas.microsoft.com/office/drawing/2014/chart" uri="{C3380CC4-5D6E-409C-BE32-E72D297353CC}">
                <c16:uniqueId val="{00000005-8670-4931-854D-FFF498E77859}"/>
              </c:ext>
            </c:extLst>
          </c:dPt>
          <c:cat>
            <c:strLit>
              <c:ptCount val="3"/>
              <c:pt idx="0">
                <c:v>1</c:v>
              </c:pt>
              <c:pt idx="1">
                <c:v>2</c:v>
              </c:pt>
              <c:pt idx="2">
                <c:v>3</c:v>
              </c:pt>
            </c:strLit>
          </c:cat>
          <c:val>
            <c:numLit>
              <c:formatCode>General</c:formatCode>
              <c:ptCount val="3"/>
              <c:pt idx="0">
                <c:v>215805933.57000008</c:v>
              </c:pt>
              <c:pt idx="1">
                <c:v>262341149.06999999</c:v>
              </c:pt>
              <c:pt idx="2">
                <c:v>42630640.68</c:v>
              </c:pt>
            </c:numLit>
          </c:val>
          <c:extLst>
            <c:ext xmlns:c16="http://schemas.microsoft.com/office/drawing/2014/chart" uri="{C3380CC4-5D6E-409C-BE32-E72D297353CC}">
              <c16:uniqueId val="{00000006-8670-4931-854D-FFF498E77859}"/>
            </c:ext>
          </c:extLst>
        </c:ser>
        <c:ser>
          <c:idx val="1"/>
          <c:order val="1"/>
          <c:tx>
            <c:v>Series2</c:v>
          </c:tx>
          <c:spPr>
            <a:noFill/>
            <a:ln>
              <a:noFill/>
            </a:ln>
          </c:spPr>
          <c:dPt>
            <c:idx val="0"/>
            <c:bubble3D val="0"/>
            <c:spPr>
              <a:noFill/>
              <a:ln>
                <a:noFill/>
              </a:ln>
              <a:effectLst/>
            </c:spPr>
            <c:extLst>
              <c:ext xmlns:c16="http://schemas.microsoft.com/office/drawing/2014/chart" uri="{C3380CC4-5D6E-409C-BE32-E72D297353CC}">
                <c16:uniqueId val="{00000008-8670-4931-854D-FFF498E77859}"/>
              </c:ext>
            </c:extLst>
          </c:dPt>
          <c:dPt>
            <c:idx val="1"/>
            <c:bubble3D val="0"/>
            <c:spPr>
              <a:noFill/>
              <a:ln>
                <a:noFill/>
              </a:ln>
              <a:effectLst/>
            </c:spPr>
            <c:extLst>
              <c:ext xmlns:c16="http://schemas.microsoft.com/office/drawing/2014/chart" uri="{C3380CC4-5D6E-409C-BE32-E72D297353CC}">
                <c16:uniqueId val="{0000000A-8670-4931-854D-FFF498E77859}"/>
              </c:ext>
            </c:extLst>
          </c:dPt>
          <c:dPt>
            <c:idx val="2"/>
            <c:bubble3D val="0"/>
            <c:spPr>
              <a:noFill/>
              <a:ln>
                <a:noFill/>
              </a:ln>
              <a:effectLst/>
            </c:spPr>
            <c:extLst>
              <c:ext xmlns:c16="http://schemas.microsoft.com/office/drawing/2014/chart" uri="{C3380CC4-5D6E-409C-BE32-E72D297353CC}">
                <c16:uniqueId val="{0000000C-8670-4931-854D-FFF498E77859}"/>
              </c:ext>
            </c:extLst>
          </c:dPt>
          <c:cat>
            <c:strLit>
              <c:ptCount val="3"/>
              <c:pt idx="0">
                <c:v>1</c:v>
              </c:pt>
              <c:pt idx="1">
                <c:v>2</c:v>
              </c:pt>
              <c:pt idx="2">
                <c:v>3</c:v>
              </c:pt>
            </c:strLit>
          </c:cat>
          <c:val>
            <c:numLit>
              <c:formatCode>General</c:formatCode>
              <c:ptCount val="3"/>
              <c:pt idx="0">
                <c:v>1563811.1128260875</c:v>
              </c:pt>
              <c:pt idx="1">
                <c:v>1901022.8193478261</c:v>
              </c:pt>
              <c:pt idx="2">
                <c:v>398417.20261682244</c:v>
              </c:pt>
            </c:numLit>
          </c:val>
          <c:extLst>
            <c:ext xmlns:c16="http://schemas.microsoft.com/office/drawing/2014/chart" uri="{C3380CC4-5D6E-409C-BE32-E72D297353CC}">
              <c16:uniqueId val="{0000000D-8670-4931-854D-FFF498E77859}"/>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layout>
        <c:manualLayout>
          <c:xMode val="edge"/>
          <c:yMode val="edge"/>
          <c:x val="0.24200853880131779"/>
          <c:y val="0.88625003426038673"/>
          <c:w val="0.37996003900075348"/>
          <c:h val="8.39140632035615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41B3A">
        <a:alpha val="27059"/>
      </a:srgb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1"/>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[Walmart_Data_Cleaning.xlsx]Pivot_Analysis!PivotTable_SalesOnHolidayVsNormalDays</c:name>
    <c:fmtId val="20"/>
  </c:pivotSource>
  <c:chart>
    <c:title>
      <c:tx>
        <c:rich>
          <a:bodyPr rot="0" spcFirstLastPara="1" vertOverflow="ellipsis" vert="horz" wrap="square" anchor="ctr" anchorCtr="1"/>
          <a:lstStyle/>
          <a:p>
            <a:pPr>
              <a:defRPr sz="1400" b="0" i="0" u="none" strike="noStrike" kern="1200" spc="0" baseline="0">
                <a:solidFill>
                  <a:schemeClr val="bg2">
                    <a:lumMod val="90000"/>
                  </a:schemeClr>
                </a:solidFill>
                <a:latin typeface="+mn-lt"/>
                <a:ea typeface="+mn-ea"/>
                <a:cs typeface="+mn-cs"/>
              </a:defRPr>
            </a:pPr>
            <a:r>
              <a:rPr lang="en-US" sz="1000" b="1">
                <a:solidFill>
                  <a:schemeClr val="bg2">
                    <a:lumMod val="90000"/>
                  </a:schemeClr>
                </a:solidFill>
                <a:latin typeface="Segoe UI" panose="020B0502040204020203" pitchFamily="34" charset="0"/>
                <a:cs typeface="Segoe UI" panose="020B0502040204020203" pitchFamily="34" charset="0"/>
              </a:rPr>
              <a:t>Holiday</a:t>
            </a:r>
            <a:r>
              <a:rPr lang="en-US" sz="1000" b="1" baseline="0">
                <a:solidFill>
                  <a:schemeClr val="bg2">
                    <a:lumMod val="90000"/>
                  </a:schemeClr>
                </a:solidFill>
                <a:latin typeface="Segoe UI" panose="020B0502040204020203" pitchFamily="34" charset="0"/>
                <a:cs typeface="Segoe UI" panose="020B0502040204020203" pitchFamily="34" charset="0"/>
              </a:rPr>
              <a:t>  Vs Non Holiday Sales ($M)</a:t>
            </a:r>
            <a:endParaRPr lang="en-US" sz="1000" b="1">
              <a:solidFill>
                <a:schemeClr val="bg2">
                  <a:lumMod val="90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9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1CE"/>
          </a:solidFill>
          <a:ln w="19050">
            <a:noFill/>
          </a:ln>
          <a:effectLst/>
        </c:spPr>
      </c:pivotFmt>
      <c:pivotFmt>
        <c:idx val="10"/>
        <c:spPr>
          <a:solidFill>
            <a:srgbClr val="FFC220"/>
          </a:solidFill>
          <a:ln w="19050">
            <a:noFill/>
          </a:ln>
          <a:effectLst/>
        </c:spPr>
      </c:pivotFmt>
      <c:pivotFmt>
        <c:idx val="11"/>
        <c:spPr>
          <a:solidFill>
            <a:srgbClr val="0071C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C000"/>
          </a:solidFill>
          <a:ln w="19050">
            <a:noFill/>
          </a:ln>
          <a:effectLst/>
        </c:spPr>
      </c:pivotFmt>
      <c:pivotFmt>
        <c:idx val="13"/>
        <c:spPr>
          <a:solidFill>
            <a:srgbClr val="0071CE"/>
          </a:solidFill>
          <a:ln w="19050">
            <a:noFill/>
          </a:ln>
          <a:effectLst/>
        </c:spPr>
      </c:pivotFmt>
    </c:pivotFmts>
    <c:plotArea>
      <c:layout>
        <c:manualLayout>
          <c:layoutTarget val="inner"/>
          <c:xMode val="edge"/>
          <c:yMode val="edge"/>
          <c:x val="3.3816292953861488E-2"/>
          <c:y val="0.14342985909996947"/>
          <c:w val="0.893719806763285"/>
          <c:h val="0.73764896555032444"/>
        </c:manualLayout>
      </c:layout>
      <c:barChart>
        <c:barDir val="col"/>
        <c:grouping val="clustered"/>
        <c:varyColors val="0"/>
        <c:ser>
          <c:idx val="0"/>
          <c:order val="0"/>
          <c:tx>
            <c:strRef>
              <c:f>Pivot_Analysis!$C$20</c:f>
              <c:strCache>
                <c:ptCount val="1"/>
                <c:pt idx="0">
                  <c:v>Total</c:v>
                </c:pt>
              </c:strCache>
            </c:strRef>
          </c:tx>
          <c:spPr>
            <a:solidFill>
              <a:srgbClr val="0071CE"/>
            </a:solidFill>
            <a:ln w="19050">
              <a:solidFill>
                <a:schemeClr val="lt1"/>
              </a:solidFill>
            </a:ln>
            <a:effectLst/>
          </c:spPr>
          <c:invertIfNegative val="0"/>
          <c:dPt>
            <c:idx val="0"/>
            <c:invertIfNegative val="0"/>
            <c:bubble3D val="0"/>
            <c:spPr>
              <a:solidFill>
                <a:srgbClr val="FFC000"/>
              </a:solidFill>
              <a:ln w="19050">
                <a:noFill/>
              </a:ln>
              <a:effectLst/>
            </c:spPr>
            <c:extLst>
              <c:ext xmlns:c16="http://schemas.microsoft.com/office/drawing/2014/chart" uri="{C3380CC4-5D6E-409C-BE32-E72D297353CC}">
                <c16:uniqueId val="{00000009-008D-4580-8BD0-95ABA978CE7D}"/>
              </c:ext>
            </c:extLst>
          </c:dPt>
          <c:dPt>
            <c:idx val="1"/>
            <c:invertIfNegative val="0"/>
            <c:bubble3D val="0"/>
            <c:spPr>
              <a:solidFill>
                <a:srgbClr val="0071CE"/>
              </a:solidFill>
              <a:ln w="19050">
                <a:noFill/>
              </a:ln>
              <a:effectLst/>
            </c:spPr>
            <c:extLst>
              <c:ext xmlns:c16="http://schemas.microsoft.com/office/drawing/2014/chart" uri="{C3380CC4-5D6E-409C-BE32-E72D297353CC}">
                <c16:uniqueId val="{00000008-008D-4580-8BD0-95ABA978CE7D}"/>
              </c:ext>
            </c:extLst>
          </c:dPt>
          <c:cat>
            <c:strRef>
              <c:f>Pivot_Analysis!$B$21:$B$23</c:f>
              <c:strCache>
                <c:ptCount val="2"/>
                <c:pt idx="0">
                  <c:v>Holiday</c:v>
                </c:pt>
                <c:pt idx="1">
                  <c:v>Non-Holiday</c:v>
                </c:pt>
              </c:strCache>
            </c:strRef>
          </c:cat>
          <c:val>
            <c:numRef>
              <c:f>Pivot_Analysis!$C$21:$C$23</c:f>
              <c:numCache>
                <c:formatCode>_("$"* #,##0.00,," M"_);_("$"* \(#,##0.00,," M"\);_("$"* "-"??_);_(@_)</c:formatCode>
                <c:ptCount val="2"/>
                <c:pt idx="0">
                  <c:v>39146032.159999996</c:v>
                </c:pt>
                <c:pt idx="1">
                  <c:v>481631691.16000032</c:v>
                </c:pt>
              </c:numCache>
            </c:numRef>
          </c:val>
          <c:extLst>
            <c:ext xmlns:c16="http://schemas.microsoft.com/office/drawing/2014/chart" uri="{C3380CC4-5D6E-409C-BE32-E72D297353CC}">
              <c16:uniqueId val="{00000005-008D-4580-8BD0-95ABA978CE7D}"/>
            </c:ext>
          </c:extLst>
        </c:ser>
        <c:dLbls>
          <c:showLegendKey val="0"/>
          <c:showVal val="0"/>
          <c:showCatName val="0"/>
          <c:showSerName val="0"/>
          <c:showPercent val="0"/>
          <c:showBubbleSize val="0"/>
        </c:dLbls>
        <c:gapWidth val="402"/>
        <c:axId val="614787231"/>
        <c:axId val="614783871"/>
      </c:barChart>
      <c:catAx>
        <c:axId val="614787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4783871"/>
        <c:crosses val="autoZero"/>
        <c:auto val="1"/>
        <c:lblAlgn val="ctr"/>
        <c:lblOffset val="100"/>
        <c:noMultiLvlLbl val="0"/>
      </c:catAx>
      <c:valAx>
        <c:axId val="614783871"/>
        <c:scaling>
          <c:orientation val="minMax"/>
        </c:scaling>
        <c:delete val="0"/>
        <c:axPos val="l"/>
        <c:numFmt formatCode="_(&quot;$&quot;* #,##0.00,,&quot; M&quot;_);_(&quot;$&quot;* \(#,##0.00,,&quot; M&quot;\);_(&quot;$&quot;*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87231"/>
        <c:crosses val="autoZero"/>
        <c:crossBetween val="between"/>
      </c:valAx>
      <c:spPr>
        <a:solidFill>
          <a:srgbClr val="041B3A">
            <a:alpha val="27059"/>
          </a:srgb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41B3A">
        <a:alpha val="27059"/>
      </a:srgb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[Walmart_Data_Cleaning.xlsx]Pivot_Analysis!PivotTable6_YearMonthSales</c:name>
    <c:fmtId val="0"/>
  </c:pivotSource>
  <c:chart>
    <c:title>
      <c:tx>
        <c:rich>
          <a:bodyPr rot="0" spcFirstLastPara="1" vertOverflow="ellipsis" vert="horz" wrap="square" anchor="ctr" anchorCtr="1"/>
          <a:lstStyle/>
          <a:p>
            <a:pPr>
              <a:defRPr sz="1100" b="1" i="0" u="none" strike="noStrike" kern="1200" spc="0" baseline="0">
                <a:solidFill>
                  <a:schemeClr val="bg2">
                    <a:lumMod val="90000"/>
                  </a:schemeClr>
                </a:solidFill>
                <a:latin typeface="Segoe UI" panose="020B0502040204020203" pitchFamily="34" charset="0"/>
                <a:ea typeface="+mn-ea"/>
                <a:cs typeface="Segoe UI" panose="020B0502040204020203" pitchFamily="34" charset="0"/>
              </a:defRPr>
            </a:pPr>
            <a:r>
              <a:rPr lang="en-US" sz="1100" b="1">
                <a:solidFill>
                  <a:schemeClr val="bg2">
                    <a:lumMod val="90000"/>
                  </a:schemeClr>
                </a:solidFill>
                <a:latin typeface="Segoe UI" panose="020B0502040204020203" pitchFamily="34" charset="0"/>
                <a:cs typeface="Segoe UI" panose="020B0502040204020203" pitchFamily="34" charset="0"/>
              </a:rPr>
              <a:t>Monthly Sales Trend</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2">
                  <a:lumMod val="90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rgbClr val="FFC220"/>
            </a:solidFill>
            <a:round/>
          </a:ln>
          <a:effectLst>
            <a:glow rad="50800">
              <a:schemeClr val="accent4">
                <a:satMod val="175000"/>
                <a:alpha val="30000"/>
              </a:schemeClr>
            </a:glow>
          </a:effectLst>
        </c:spPr>
        <c:marker>
          <c:symbol val="circle"/>
          <c:size val="5"/>
          <c:spPr>
            <a:solidFill>
              <a:schemeClr val="accent1"/>
            </a:solidFill>
            <a:ln w="9525">
              <a:solidFill>
                <a:srgbClr val="FFC220"/>
              </a:solidFill>
            </a:ln>
            <a:effectLst>
              <a:glow rad="50800">
                <a:schemeClr val="accent4">
                  <a:satMod val="175000"/>
                  <a:alpha val="3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a:glow rad="50800">
              <a:schemeClr val="accent4">
                <a:satMod val="175000"/>
                <a:alpha val="25000"/>
              </a:schemeClr>
            </a:glow>
          </a:effectLst>
        </c:spPr>
        <c:marker>
          <c:symbol val="circle"/>
          <c:size val="5"/>
          <c:spPr>
            <a:solidFill>
              <a:schemeClr val="accent1"/>
            </a:solidFill>
            <a:ln w="9525">
              <a:solidFill>
                <a:srgbClr val="FFC000"/>
              </a:solidFill>
            </a:ln>
            <a:effectLst>
              <a:glow rad="508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Pivot_Analysis!$C$37</c:f>
              <c:strCache>
                <c:ptCount val="1"/>
                <c:pt idx="0">
                  <c:v>Total</c:v>
                </c:pt>
              </c:strCache>
            </c:strRef>
          </c:tx>
          <c:spPr>
            <a:ln w="28575" cap="rnd">
              <a:solidFill>
                <a:srgbClr val="FFC000"/>
              </a:solidFill>
              <a:round/>
            </a:ln>
            <a:effectLst>
              <a:glow rad="50800">
                <a:schemeClr val="accent4">
                  <a:satMod val="175000"/>
                  <a:alpha val="25000"/>
                </a:schemeClr>
              </a:glow>
            </a:effectLst>
          </c:spPr>
          <c:marker>
            <c:symbol val="circle"/>
            <c:size val="5"/>
            <c:spPr>
              <a:solidFill>
                <a:schemeClr val="accent1"/>
              </a:solidFill>
              <a:ln w="9525">
                <a:solidFill>
                  <a:srgbClr val="FFC000"/>
                </a:solidFill>
              </a:ln>
              <a:effectLst>
                <a:glow rad="50800">
                  <a:schemeClr val="accent4">
                    <a:satMod val="175000"/>
                    <a:alpha val="25000"/>
                  </a:schemeClr>
                </a:glow>
              </a:effectLst>
            </c:spPr>
          </c:marker>
          <c:cat>
            <c:strRef>
              <c:f>Pivot_Analysis!$B$38:$B$50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Pivot_Analysis!$C$38:$C$50</c:f>
              <c:numCache>
                <c:formatCode>_("$"* #,##0.00,," M"_);_("$"* \(#,##0.00,," M"\);_("$"* "-"??_);_(@_)</c:formatCode>
                <c:ptCount val="12"/>
                <c:pt idx="0">
                  <c:v>1827440.43</c:v>
                </c:pt>
                <c:pt idx="1">
                  <c:v>11689781.48</c:v>
                </c:pt>
                <c:pt idx="2">
                  <c:v>14792696.669999998</c:v>
                </c:pt>
                <c:pt idx="3">
                  <c:v>10878688.98</c:v>
                </c:pt>
                <c:pt idx="4">
                  <c:v>15275902.859999999</c:v>
                </c:pt>
                <c:pt idx="5">
                  <c:v>12713079.649999999</c:v>
                </c:pt>
                <c:pt idx="6">
                  <c:v>5195485.7700000014</c:v>
                </c:pt>
                <c:pt idx="7">
                  <c:v>15669149.029999999</c:v>
                </c:pt>
                <c:pt idx="8">
                  <c:v>9654854.0899999999</c:v>
                </c:pt>
                <c:pt idx="9">
                  <c:v>20612892.300000001</c:v>
                </c:pt>
                <c:pt idx="10">
                  <c:v>14828466.139999999</c:v>
                </c:pt>
                <c:pt idx="11">
                  <c:v>27600123.100000001</c:v>
                </c:pt>
              </c:numCache>
            </c:numRef>
          </c:val>
          <c:smooth val="0"/>
          <c:extLst>
            <c:ext xmlns:c16="http://schemas.microsoft.com/office/drawing/2014/chart" uri="{C3380CC4-5D6E-409C-BE32-E72D297353CC}">
              <c16:uniqueId val="{00000000-78A5-46EC-9BAD-4F47D971FFC6}"/>
            </c:ext>
          </c:extLst>
        </c:ser>
        <c:dLbls>
          <c:showLegendKey val="0"/>
          <c:showVal val="0"/>
          <c:showCatName val="0"/>
          <c:showSerName val="0"/>
          <c:showPercent val="0"/>
          <c:showBubbleSize val="0"/>
        </c:dLbls>
        <c:marker val="1"/>
        <c:smooth val="0"/>
        <c:axId val="614841471"/>
        <c:axId val="614820831"/>
      </c:lineChart>
      <c:catAx>
        <c:axId val="614841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4820831"/>
        <c:crosses val="autoZero"/>
        <c:auto val="1"/>
        <c:lblAlgn val="ctr"/>
        <c:lblOffset val="100"/>
        <c:noMultiLvlLbl val="0"/>
      </c:catAx>
      <c:valAx>
        <c:axId val="614820831"/>
        <c:scaling>
          <c:orientation val="minMax"/>
        </c:scaling>
        <c:delete val="0"/>
        <c:axPos val="l"/>
        <c:numFmt formatCode="_(&quot;$&quot;* #,##0.00,,&quot; M&quot;_);_(&quot;$&quot;* \(#,##0.00,,&quot; M&quot;\);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4841471"/>
        <c:crosses val="autoZero"/>
        <c:crossBetween val="between"/>
        <c:majorUnit val="10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41E42">
        <a:alpha val="27000"/>
      </a:srgb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[Walmart_Data_Cleaning.xlsx]Pivot_Analysis!PivotTable4_FuelPricetoSales</c:name>
    <c:fmtId val="12"/>
  </c:pivotSource>
  <c:chart>
    <c:title>
      <c:tx>
        <c:rich>
          <a:bodyPr rot="0" spcFirstLastPara="1" vertOverflow="ellipsis" vert="horz" wrap="square" anchor="ctr" anchorCtr="1"/>
          <a:lstStyle/>
          <a:p>
            <a:pPr>
              <a:defRPr sz="1100" b="1" i="0" u="none" strike="noStrike" kern="1200" spc="0" baseline="0">
                <a:solidFill>
                  <a:schemeClr val="bg2">
                    <a:lumMod val="90000"/>
                  </a:schemeClr>
                </a:solidFill>
                <a:latin typeface="Segoe UI" panose="020B0502040204020203" pitchFamily="34" charset="0"/>
                <a:ea typeface="+mn-ea"/>
                <a:cs typeface="Segoe UI" panose="020B0502040204020203" pitchFamily="34" charset="0"/>
              </a:defRPr>
            </a:pPr>
            <a:r>
              <a:rPr lang="en-US" sz="1100" b="1">
                <a:solidFill>
                  <a:schemeClr val="bg2">
                    <a:lumMod val="90000"/>
                  </a:schemeClr>
                </a:solidFill>
                <a:latin typeface="Segoe UI" panose="020B0502040204020203" pitchFamily="34" charset="0"/>
                <a:cs typeface="Segoe UI" panose="020B0502040204020203" pitchFamily="34" charset="0"/>
              </a:rPr>
              <a:t>Fuel Price Vs Sales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2">
                  <a:lumMod val="90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22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Pivot_Analysis!$C$26</c:f>
              <c:strCache>
                <c:ptCount val="1"/>
                <c:pt idx="0">
                  <c:v>Total</c:v>
                </c:pt>
              </c:strCache>
            </c:strRef>
          </c:tx>
          <c:spPr>
            <a:ln w="28575" cap="rnd">
              <a:solidFill>
                <a:srgbClr val="FFC000"/>
              </a:solidFill>
              <a:round/>
            </a:ln>
            <a:effectLst/>
          </c:spPr>
          <c:marker>
            <c:symbol val="none"/>
          </c:marker>
          <c:cat>
            <c:strRef>
              <c:f>Pivot_Analysis!$B$27:$B$33</c:f>
              <c:strCache>
                <c:ptCount val="6"/>
                <c:pt idx="0">
                  <c:v>2.514-2.764</c:v>
                </c:pt>
                <c:pt idx="1">
                  <c:v>2.764-3.014</c:v>
                </c:pt>
                <c:pt idx="2">
                  <c:v>3.014-3.264</c:v>
                </c:pt>
                <c:pt idx="3">
                  <c:v>3.264-3.514</c:v>
                </c:pt>
                <c:pt idx="4">
                  <c:v>3.514-3.764</c:v>
                </c:pt>
                <c:pt idx="5">
                  <c:v>3.764-4.014</c:v>
                </c:pt>
              </c:strCache>
            </c:strRef>
          </c:cat>
          <c:val>
            <c:numRef>
              <c:f>Pivot_Analysis!$C$27:$C$33</c:f>
              <c:numCache>
                <c:formatCode>_("$"* #,##0.00,," M"_);_("$"* \(#,##0.00,," M"\);_("$"* "-"??_);_(@_)</c:formatCode>
                <c:ptCount val="6"/>
                <c:pt idx="0">
                  <c:v>116725603.88999999</c:v>
                </c:pt>
                <c:pt idx="1">
                  <c:v>55464235.689999998</c:v>
                </c:pt>
                <c:pt idx="2">
                  <c:v>56730465.239999995</c:v>
                </c:pt>
                <c:pt idx="3">
                  <c:v>105260983.59999995</c:v>
                </c:pt>
                <c:pt idx="4">
                  <c:v>142454451.62</c:v>
                </c:pt>
                <c:pt idx="5">
                  <c:v>44141983.280000016</c:v>
                </c:pt>
              </c:numCache>
            </c:numRef>
          </c:val>
          <c:smooth val="0"/>
          <c:extLst>
            <c:ext xmlns:c16="http://schemas.microsoft.com/office/drawing/2014/chart" uri="{C3380CC4-5D6E-409C-BE32-E72D297353CC}">
              <c16:uniqueId val="{00000002-353A-4ED3-810F-2CBFF4280A4A}"/>
            </c:ext>
          </c:extLst>
        </c:ser>
        <c:dLbls>
          <c:showLegendKey val="0"/>
          <c:showVal val="0"/>
          <c:showCatName val="0"/>
          <c:showSerName val="0"/>
          <c:showPercent val="0"/>
          <c:showBubbleSize val="0"/>
        </c:dLbls>
        <c:smooth val="0"/>
        <c:axId val="907085951"/>
        <c:axId val="907087391"/>
      </c:lineChart>
      <c:catAx>
        <c:axId val="907085951"/>
        <c:scaling>
          <c:orientation val="minMax"/>
        </c:scaling>
        <c:delete val="0"/>
        <c:axPos val="b"/>
        <c:numFmt formatCode="#,##0.00;[Red]#,##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7087391"/>
        <c:crosses val="autoZero"/>
        <c:auto val="0"/>
        <c:lblAlgn val="ctr"/>
        <c:lblOffset val="100"/>
        <c:noMultiLvlLbl val="0"/>
      </c:catAx>
      <c:valAx>
        <c:axId val="907087391"/>
        <c:scaling>
          <c:orientation val="minMax"/>
        </c:scaling>
        <c:delete val="0"/>
        <c:axPos val="l"/>
        <c:numFmt formatCode="_(&quot;$&quot;* #,##0.00,,&quot; M&quot;_);_(&quot;$&quot;* \(#,##0.00,,&quot; M&quot;\);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7085951"/>
        <c:crosses val="autoZero"/>
        <c:crossBetween val="between"/>
        <c:majorUnit val="50000000"/>
        <c:minorUnit val="5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41B3A">
        <a:alpha val="27059"/>
      </a:srgb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Pivot_Analysi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ta_Cleaning!A1"/><Relationship Id="rId5" Type="http://schemas.openxmlformats.org/officeDocument/2006/relationships/image" Target="../media/image5.png"/><Relationship Id="rId10" Type="http://schemas.openxmlformats.org/officeDocument/2006/relationships/hyperlink" Target="#Dashboard!A1"/><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596900</xdr:colOff>
      <xdr:row>0</xdr:row>
      <xdr:rowOff>165100</xdr:rowOff>
    </xdr:from>
    <xdr:to>
      <xdr:col>25</xdr:col>
      <xdr:colOff>0</xdr:colOff>
      <xdr:row>8</xdr:row>
      <xdr:rowOff>82550</xdr:rowOff>
    </xdr:to>
    <xdr:sp macro="" textlink="">
      <xdr:nvSpPr>
        <xdr:cNvPr id="25" name="Rectangle: Rounded Corners 24">
          <a:extLst>
            <a:ext uri="{FF2B5EF4-FFF2-40B4-BE49-F238E27FC236}">
              <a16:creationId xmlns:a16="http://schemas.microsoft.com/office/drawing/2014/main" id="{A08D535E-A849-0847-664F-BA1398B23863}"/>
            </a:ext>
          </a:extLst>
        </xdr:cNvPr>
        <xdr:cNvSpPr/>
      </xdr:nvSpPr>
      <xdr:spPr>
        <a:xfrm>
          <a:off x="596900" y="165100"/>
          <a:ext cx="14643100" cy="1428750"/>
        </a:xfrm>
        <a:prstGeom prst="roundRect">
          <a:avLst/>
        </a:prstGeom>
        <a:solidFill>
          <a:srgbClr val="0D2B6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571500</xdr:colOff>
      <xdr:row>2</xdr:row>
      <xdr:rowOff>57150</xdr:rowOff>
    </xdr:from>
    <xdr:to>
      <xdr:col>19</xdr:col>
      <xdr:colOff>209550</xdr:colOff>
      <xdr:row>5</xdr:row>
      <xdr:rowOff>57150</xdr:rowOff>
    </xdr:to>
    <xdr:sp macro="" textlink="">
      <xdr:nvSpPr>
        <xdr:cNvPr id="26" name="TextBox 25">
          <a:extLst>
            <a:ext uri="{FF2B5EF4-FFF2-40B4-BE49-F238E27FC236}">
              <a16:creationId xmlns:a16="http://schemas.microsoft.com/office/drawing/2014/main" id="{1AB5D589-8EAE-73C0-CE37-522BB4BB5AFD}"/>
            </a:ext>
          </a:extLst>
        </xdr:cNvPr>
        <xdr:cNvSpPr txBox="1"/>
      </xdr:nvSpPr>
      <xdr:spPr>
        <a:xfrm>
          <a:off x="1181100" y="425450"/>
          <a:ext cx="106108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500" b="1" i="0">
              <a:solidFill>
                <a:schemeClr val="bg1"/>
              </a:solidFill>
              <a:effectLst/>
              <a:latin typeface="Aptos" panose="020B0004020202020204" pitchFamily="34" charset="0"/>
              <a:ea typeface="+mn-ea"/>
              <a:cs typeface="+mn-cs"/>
            </a:rPr>
            <a:t>Walmart</a:t>
          </a:r>
          <a:r>
            <a:rPr lang="en-US" sz="3600" b="1" i="0">
              <a:solidFill>
                <a:schemeClr val="bg1"/>
              </a:solidFill>
              <a:effectLst/>
              <a:latin typeface="Aptos" panose="020B0004020202020204" pitchFamily="34" charset="0"/>
              <a:ea typeface="+mn-ea"/>
              <a:cs typeface="+mn-cs"/>
            </a:rPr>
            <a:t> Sales Dashboard &amp; Automation</a:t>
          </a:r>
        </a:p>
      </xdr:txBody>
    </xdr:sp>
    <xdr:clientData/>
  </xdr:twoCellAnchor>
  <xdr:twoCellAnchor>
    <xdr:from>
      <xdr:col>1</xdr:col>
      <xdr:colOff>558800</xdr:colOff>
      <xdr:row>5</xdr:row>
      <xdr:rowOff>57150</xdr:rowOff>
    </xdr:from>
    <xdr:to>
      <xdr:col>18</xdr:col>
      <xdr:colOff>558800</xdr:colOff>
      <xdr:row>7</xdr:row>
      <xdr:rowOff>19050</xdr:rowOff>
    </xdr:to>
    <xdr:sp macro="" textlink="">
      <xdr:nvSpPr>
        <xdr:cNvPr id="27" name="TextBox 26">
          <a:extLst>
            <a:ext uri="{FF2B5EF4-FFF2-40B4-BE49-F238E27FC236}">
              <a16:creationId xmlns:a16="http://schemas.microsoft.com/office/drawing/2014/main" id="{A4416A2B-6248-8120-CD72-08749E2F1EC5}"/>
            </a:ext>
          </a:extLst>
        </xdr:cNvPr>
        <xdr:cNvSpPr txBox="1"/>
      </xdr:nvSpPr>
      <xdr:spPr>
        <a:xfrm>
          <a:off x="1168400" y="977900"/>
          <a:ext cx="103632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45720" rtlCol="0" anchor="t"/>
        <a:lstStyle/>
        <a:p>
          <a:r>
            <a:rPr lang="en-US" sz="1200" b="0" i="0">
              <a:solidFill>
                <a:srgbClr val="C7D2FE"/>
              </a:solidFill>
              <a:effectLst/>
              <a:latin typeface="+mn-lt"/>
              <a:ea typeface="+mn-ea"/>
              <a:cs typeface="+mn-cs"/>
            </a:rPr>
            <a:t>Interactive Excel dashboard project built using Power Query, Pivot Tables, KPI cards, and dynamic visualizations for retail sales analysis</a:t>
          </a:r>
          <a:endParaRPr lang="en-US" sz="1200">
            <a:solidFill>
              <a:srgbClr val="C7D2FE"/>
            </a:solidFill>
          </a:endParaRPr>
        </a:p>
      </xdr:txBody>
    </xdr:sp>
    <xdr:clientData/>
  </xdr:twoCellAnchor>
  <xdr:twoCellAnchor>
    <xdr:from>
      <xdr:col>0</xdr:col>
      <xdr:colOff>565150</xdr:colOff>
      <xdr:row>9</xdr:row>
      <xdr:rowOff>158750</xdr:rowOff>
    </xdr:from>
    <xdr:to>
      <xdr:col>13</xdr:col>
      <xdr:colOff>57150</xdr:colOff>
      <xdr:row>28</xdr:row>
      <xdr:rowOff>0</xdr:rowOff>
    </xdr:to>
    <xdr:grpSp>
      <xdr:nvGrpSpPr>
        <xdr:cNvPr id="76" name="Group 75">
          <a:extLst>
            <a:ext uri="{FF2B5EF4-FFF2-40B4-BE49-F238E27FC236}">
              <a16:creationId xmlns:a16="http://schemas.microsoft.com/office/drawing/2014/main" id="{C7507BA6-7613-B961-0666-826840C224C6}"/>
            </a:ext>
          </a:extLst>
        </xdr:cNvPr>
        <xdr:cNvGrpSpPr/>
      </xdr:nvGrpSpPr>
      <xdr:grpSpPr>
        <a:xfrm>
          <a:off x="565150" y="1820333"/>
          <a:ext cx="7471833" cy="3302000"/>
          <a:chOff x="565150" y="1854200"/>
          <a:chExt cx="7487920" cy="3219450"/>
        </a:xfrm>
      </xdr:grpSpPr>
      <xdr:sp macro="" textlink="">
        <xdr:nvSpPr>
          <xdr:cNvPr id="28" name="Rectangle: Rounded Corners 27">
            <a:extLst>
              <a:ext uri="{FF2B5EF4-FFF2-40B4-BE49-F238E27FC236}">
                <a16:creationId xmlns:a16="http://schemas.microsoft.com/office/drawing/2014/main" id="{13CF85A0-D25A-4E39-8662-696E7B289652}"/>
              </a:ext>
            </a:extLst>
          </xdr:cNvPr>
          <xdr:cNvSpPr/>
        </xdr:nvSpPr>
        <xdr:spPr>
          <a:xfrm>
            <a:off x="598170" y="1854200"/>
            <a:ext cx="7454900" cy="3219450"/>
          </a:xfrm>
          <a:prstGeom prst="roundRect">
            <a:avLst>
              <a:gd name="adj" fmla="val 8161"/>
            </a:avLst>
          </a:prstGeom>
          <a:solidFill>
            <a:srgbClr val="111C34"/>
          </a:solidFill>
          <a:ln w="3175">
            <a:noFill/>
          </a:ln>
          <a:effectLst>
            <a:outerShdw blurRad="127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F9454BBB-5F3A-5351-0E98-243F94560DF8}"/>
              </a:ext>
            </a:extLst>
          </xdr:cNvPr>
          <xdr:cNvSpPr txBox="1"/>
        </xdr:nvSpPr>
        <xdr:spPr>
          <a:xfrm>
            <a:off x="565150" y="2063750"/>
            <a:ext cx="30988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r>
              <a:rPr lang="en-US" sz="1400" b="0">
                <a:solidFill>
                  <a:schemeClr val="bg1"/>
                </a:solidFill>
                <a:latin typeface="Segoe UI Black" panose="020B0A02040204020203" pitchFamily="34" charset="0"/>
                <a:ea typeface="Segoe UI Black" panose="020B0A02040204020203" pitchFamily="34" charset="0"/>
              </a:rPr>
              <a:t>Project Features</a:t>
            </a:r>
          </a:p>
        </xdr:txBody>
      </xdr:sp>
      <xdr:grpSp>
        <xdr:nvGrpSpPr>
          <xdr:cNvPr id="45" name="Group 44">
            <a:extLst>
              <a:ext uri="{FF2B5EF4-FFF2-40B4-BE49-F238E27FC236}">
                <a16:creationId xmlns:a16="http://schemas.microsoft.com/office/drawing/2014/main" id="{C880EB55-88C2-3DAE-253A-FA7811FAE37E}"/>
              </a:ext>
            </a:extLst>
          </xdr:cNvPr>
          <xdr:cNvGrpSpPr/>
        </xdr:nvGrpSpPr>
        <xdr:grpSpPr>
          <a:xfrm>
            <a:off x="808990" y="2647950"/>
            <a:ext cx="3407410" cy="1099820"/>
            <a:chOff x="808990" y="2647950"/>
            <a:chExt cx="3407410" cy="1099820"/>
          </a:xfrm>
        </xdr:grpSpPr>
        <xdr:sp macro="" textlink="">
          <xdr:nvSpPr>
            <xdr:cNvPr id="30" name="Rectangle: Rounded Corners 29">
              <a:extLst>
                <a:ext uri="{FF2B5EF4-FFF2-40B4-BE49-F238E27FC236}">
                  <a16:creationId xmlns:a16="http://schemas.microsoft.com/office/drawing/2014/main" id="{56A03185-6998-3F5F-B295-30130BEB8FBF}"/>
                </a:ext>
              </a:extLst>
            </xdr:cNvPr>
            <xdr:cNvSpPr/>
          </xdr:nvSpPr>
          <xdr:spPr>
            <a:xfrm>
              <a:off x="808990" y="2647950"/>
              <a:ext cx="3407410" cy="1099820"/>
            </a:xfrm>
            <a:prstGeom prst="roundRect">
              <a:avLst/>
            </a:prstGeom>
            <a:solidFill>
              <a:srgbClr val="1725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6" name="Graphic 35" descr="Lightning bolt with solid fill">
              <a:extLst>
                <a:ext uri="{FF2B5EF4-FFF2-40B4-BE49-F238E27FC236}">
                  <a16:creationId xmlns:a16="http://schemas.microsoft.com/office/drawing/2014/main" id="{3A5F651C-05C2-49BA-1834-A8E8AC231D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09651" y="2762251"/>
              <a:ext cx="182879" cy="182879"/>
            </a:xfrm>
            <a:prstGeom prst="rect">
              <a:avLst/>
            </a:prstGeom>
          </xdr:spPr>
        </xdr:pic>
        <xdr:sp macro="" textlink="">
          <xdr:nvSpPr>
            <xdr:cNvPr id="43" name="TextBox 42">
              <a:extLst>
                <a:ext uri="{FF2B5EF4-FFF2-40B4-BE49-F238E27FC236}">
                  <a16:creationId xmlns:a16="http://schemas.microsoft.com/office/drawing/2014/main" id="{472FFC34-40C6-BD44-EC4C-4B9CDEE6C856}"/>
                </a:ext>
              </a:extLst>
            </xdr:cNvPr>
            <xdr:cNvSpPr txBox="1"/>
          </xdr:nvSpPr>
          <xdr:spPr>
            <a:xfrm>
              <a:off x="1123950" y="2742565"/>
              <a:ext cx="24384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0" bIns="0" rtlCol="0" anchor="t"/>
            <a:lstStyle/>
            <a:p>
              <a:pPr algn="l"/>
              <a:r>
                <a:rPr lang="en-US" sz="1100" b="1">
                  <a:solidFill>
                    <a:schemeClr val="bg1"/>
                  </a:solidFill>
                  <a:latin typeface="Segoe UI Black" panose="020B0A02040204020203" pitchFamily="34" charset="0"/>
                  <a:ea typeface="Segoe UI Black" panose="020B0A02040204020203" pitchFamily="34" charset="0"/>
                </a:rPr>
                <a:t>Automated</a:t>
              </a:r>
              <a:r>
                <a:rPr lang="en-US" sz="1100" b="1" baseline="0">
                  <a:solidFill>
                    <a:schemeClr val="bg1"/>
                  </a:solidFill>
                  <a:latin typeface="Segoe UI Black" panose="020B0A02040204020203" pitchFamily="34" charset="0"/>
                  <a:ea typeface="Segoe UI Black" panose="020B0A02040204020203" pitchFamily="34" charset="0"/>
                </a:rPr>
                <a:t> Cleaning</a:t>
              </a:r>
              <a:endParaRPr lang="en-US" sz="1100" b="1">
                <a:solidFill>
                  <a:schemeClr val="bg1"/>
                </a:solidFill>
                <a:latin typeface="Segoe UI Black" panose="020B0A02040204020203" pitchFamily="34" charset="0"/>
                <a:ea typeface="Segoe UI Black" panose="020B0A02040204020203" pitchFamily="34" charset="0"/>
              </a:endParaRPr>
            </a:p>
          </xdr:txBody>
        </xdr:sp>
        <xdr:sp macro="" textlink="">
          <xdr:nvSpPr>
            <xdr:cNvPr id="44" name="TextBox 43">
              <a:extLst>
                <a:ext uri="{FF2B5EF4-FFF2-40B4-BE49-F238E27FC236}">
                  <a16:creationId xmlns:a16="http://schemas.microsoft.com/office/drawing/2014/main" id="{3D234838-D03F-80E5-C4DD-EB6582272BD7}"/>
                </a:ext>
              </a:extLst>
            </xdr:cNvPr>
            <xdr:cNvSpPr txBox="1"/>
          </xdr:nvSpPr>
          <xdr:spPr>
            <a:xfrm>
              <a:off x="996950" y="3054350"/>
              <a:ext cx="244475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bg1"/>
                  </a:solidFill>
                  <a:effectLst/>
                  <a:latin typeface="+mn-lt"/>
                  <a:ea typeface="+mn-ea"/>
                  <a:cs typeface="+mn-cs"/>
                </a:rPr>
                <a:t>Power Query used for automated data transformation and cleaning.</a:t>
              </a:r>
              <a:endParaRPr lang="en-US" sz="1100">
                <a:solidFill>
                  <a:schemeClr val="bg1"/>
                </a:solidFill>
              </a:endParaRPr>
            </a:p>
          </xdr:txBody>
        </xdr:sp>
      </xdr:grpSp>
      <xdr:grpSp>
        <xdr:nvGrpSpPr>
          <xdr:cNvPr id="70" name="Group 69">
            <a:extLst>
              <a:ext uri="{FF2B5EF4-FFF2-40B4-BE49-F238E27FC236}">
                <a16:creationId xmlns:a16="http://schemas.microsoft.com/office/drawing/2014/main" id="{DD9F4C55-9DF9-8B91-AC38-019C647AA09F}"/>
              </a:ext>
            </a:extLst>
          </xdr:cNvPr>
          <xdr:cNvGrpSpPr/>
        </xdr:nvGrpSpPr>
        <xdr:grpSpPr>
          <a:xfrm>
            <a:off x="4434840" y="2647950"/>
            <a:ext cx="3407410" cy="1099820"/>
            <a:chOff x="7692390" y="2838450"/>
            <a:chExt cx="3407410" cy="1099820"/>
          </a:xfrm>
        </xdr:grpSpPr>
        <xdr:grpSp>
          <xdr:nvGrpSpPr>
            <xdr:cNvPr id="46" name="Group 45">
              <a:extLst>
                <a:ext uri="{FF2B5EF4-FFF2-40B4-BE49-F238E27FC236}">
                  <a16:creationId xmlns:a16="http://schemas.microsoft.com/office/drawing/2014/main" id="{5EC37E4E-C3F9-45A5-A796-E75E90678504}"/>
                </a:ext>
              </a:extLst>
            </xdr:cNvPr>
            <xdr:cNvGrpSpPr/>
          </xdr:nvGrpSpPr>
          <xdr:grpSpPr>
            <a:xfrm>
              <a:off x="7692390" y="2838450"/>
              <a:ext cx="3407410" cy="1099820"/>
              <a:chOff x="808990" y="2647950"/>
              <a:chExt cx="3407410" cy="1099820"/>
            </a:xfrm>
          </xdr:grpSpPr>
          <xdr:sp macro="" textlink="">
            <xdr:nvSpPr>
              <xdr:cNvPr id="47" name="Rectangle: Rounded Corners 46">
                <a:extLst>
                  <a:ext uri="{FF2B5EF4-FFF2-40B4-BE49-F238E27FC236}">
                    <a16:creationId xmlns:a16="http://schemas.microsoft.com/office/drawing/2014/main" id="{23AC0424-D9EB-19E9-1A7B-DB60344500CD}"/>
                  </a:ext>
                </a:extLst>
              </xdr:cNvPr>
              <xdr:cNvSpPr/>
            </xdr:nvSpPr>
            <xdr:spPr>
              <a:xfrm>
                <a:off x="808990" y="2647950"/>
                <a:ext cx="3407410" cy="1099820"/>
              </a:xfrm>
              <a:prstGeom prst="roundRect">
                <a:avLst/>
              </a:prstGeom>
              <a:solidFill>
                <a:srgbClr val="1725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E024CEC3-A4E5-A24E-6F57-2C1A9D2CBDEB}"/>
                  </a:ext>
                </a:extLst>
              </xdr:cNvPr>
              <xdr:cNvSpPr txBox="1"/>
            </xdr:nvSpPr>
            <xdr:spPr>
              <a:xfrm>
                <a:off x="1134110" y="2750822"/>
                <a:ext cx="2255520" cy="173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0" bIns="0" rtlCol="0" anchor="t"/>
              <a:lstStyle/>
              <a:p>
                <a:pPr algn="l"/>
                <a:r>
                  <a:rPr lang="en-US" sz="1100" b="1">
                    <a:solidFill>
                      <a:schemeClr val="bg1"/>
                    </a:solidFill>
                    <a:latin typeface="Segoe UI Black" panose="020B0A02040204020203" pitchFamily="34" charset="0"/>
                    <a:ea typeface="Segoe UI Black" panose="020B0A02040204020203" pitchFamily="34" charset="0"/>
                  </a:rPr>
                  <a:t>KPI Dashboard</a:t>
                </a:r>
              </a:p>
            </xdr:txBody>
          </xdr:sp>
          <xdr:sp macro="" textlink="">
            <xdr:nvSpPr>
              <xdr:cNvPr id="50" name="TextBox 49">
                <a:extLst>
                  <a:ext uri="{FF2B5EF4-FFF2-40B4-BE49-F238E27FC236}">
                    <a16:creationId xmlns:a16="http://schemas.microsoft.com/office/drawing/2014/main" id="{E307F9C0-3644-5527-6138-B13888C07A13}"/>
                  </a:ext>
                </a:extLst>
              </xdr:cNvPr>
              <xdr:cNvSpPr txBox="1"/>
            </xdr:nvSpPr>
            <xdr:spPr>
              <a:xfrm>
                <a:off x="895350" y="3054350"/>
                <a:ext cx="254635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bg1"/>
                    </a:solidFill>
                    <a:effectLst/>
                    <a:latin typeface="+mn-lt"/>
                    <a:ea typeface="+mn-ea"/>
                    <a:cs typeface="+mn-cs"/>
                  </a:rPr>
                  <a:t>Interactive KPI cards for sales performance tracking.</a:t>
                </a:r>
                <a:endParaRPr lang="en-US" sz="1100">
                  <a:solidFill>
                    <a:schemeClr val="bg1"/>
                  </a:solidFill>
                </a:endParaRPr>
              </a:p>
            </xdr:txBody>
          </xdr:sp>
        </xdr:grpSp>
        <xdr:pic>
          <xdr:nvPicPr>
            <xdr:cNvPr id="69" name="Graphic 68" descr="Bar chart with solid fill">
              <a:extLst>
                <a:ext uri="{FF2B5EF4-FFF2-40B4-BE49-F238E27FC236}">
                  <a16:creationId xmlns:a16="http://schemas.microsoft.com/office/drawing/2014/main" id="{A301E346-C69B-452C-8EBB-8486880EA00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834630" y="2931797"/>
              <a:ext cx="182880" cy="182880"/>
            </a:xfrm>
            <a:prstGeom prst="rect">
              <a:avLst/>
            </a:prstGeom>
          </xdr:spPr>
        </xdr:pic>
      </xdr:grpSp>
      <xdr:grpSp>
        <xdr:nvGrpSpPr>
          <xdr:cNvPr id="72" name="Group 71">
            <a:extLst>
              <a:ext uri="{FF2B5EF4-FFF2-40B4-BE49-F238E27FC236}">
                <a16:creationId xmlns:a16="http://schemas.microsoft.com/office/drawing/2014/main" id="{C81B1040-C71D-B6E8-E69D-E5D82D2A7250}"/>
              </a:ext>
            </a:extLst>
          </xdr:cNvPr>
          <xdr:cNvGrpSpPr/>
        </xdr:nvGrpSpPr>
        <xdr:grpSpPr>
          <a:xfrm>
            <a:off x="4434840" y="3862072"/>
            <a:ext cx="3407410" cy="1099820"/>
            <a:chOff x="8834120" y="2948305"/>
            <a:chExt cx="3407410" cy="1099820"/>
          </a:xfrm>
        </xdr:grpSpPr>
        <xdr:grpSp>
          <xdr:nvGrpSpPr>
            <xdr:cNvPr id="63" name="Group 62">
              <a:extLst>
                <a:ext uri="{FF2B5EF4-FFF2-40B4-BE49-F238E27FC236}">
                  <a16:creationId xmlns:a16="http://schemas.microsoft.com/office/drawing/2014/main" id="{33824618-D90B-4A81-A47F-17C7F524BC3E}"/>
                </a:ext>
              </a:extLst>
            </xdr:cNvPr>
            <xdr:cNvGrpSpPr/>
          </xdr:nvGrpSpPr>
          <xdr:grpSpPr>
            <a:xfrm>
              <a:off x="8834120" y="2948305"/>
              <a:ext cx="3407410" cy="1099820"/>
              <a:chOff x="808990" y="2647950"/>
              <a:chExt cx="3407410" cy="1099820"/>
            </a:xfrm>
          </xdr:grpSpPr>
          <xdr:sp macro="" textlink="">
            <xdr:nvSpPr>
              <xdr:cNvPr id="64" name="Rectangle: Rounded Corners 63">
                <a:extLst>
                  <a:ext uri="{FF2B5EF4-FFF2-40B4-BE49-F238E27FC236}">
                    <a16:creationId xmlns:a16="http://schemas.microsoft.com/office/drawing/2014/main" id="{8A461278-2107-084D-2642-1DE58E3B6092}"/>
                  </a:ext>
                </a:extLst>
              </xdr:cNvPr>
              <xdr:cNvSpPr/>
            </xdr:nvSpPr>
            <xdr:spPr>
              <a:xfrm>
                <a:off x="808990" y="2647950"/>
                <a:ext cx="3407410" cy="1099820"/>
              </a:xfrm>
              <a:prstGeom prst="roundRect">
                <a:avLst/>
              </a:prstGeom>
              <a:solidFill>
                <a:srgbClr val="1725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TextBox 64">
                <a:extLst>
                  <a:ext uri="{FF2B5EF4-FFF2-40B4-BE49-F238E27FC236}">
                    <a16:creationId xmlns:a16="http://schemas.microsoft.com/office/drawing/2014/main" id="{F4EF65E9-0565-CE7F-0EA3-E6E286F04AEB}"/>
                  </a:ext>
                </a:extLst>
              </xdr:cNvPr>
              <xdr:cNvSpPr txBox="1"/>
            </xdr:nvSpPr>
            <xdr:spPr>
              <a:xfrm>
                <a:off x="1041400" y="2749550"/>
                <a:ext cx="24384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0" bIns="0" rtlCol="0" anchor="t"/>
              <a:lstStyle/>
              <a:p>
                <a:pPr algn="l"/>
                <a:r>
                  <a:rPr lang="en-US" sz="1100" b="1">
                    <a:solidFill>
                      <a:schemeClr val="bg1"/>
                    </a:solidFill>
                    <a:latin typeface="Segoe UI Black" panose="020B0A02040204020203" pitchFamily="34" charset="0"/>
                    <a:ea typeface="Segoe UI Black" panose="020B0A02040204020203" pitchFamily="34" charset="0"/>
                  </a:rPr>
                  <a:t>Interactive Filters</a:t>
                </a:r>
              </a:p>
            </xdr:txBody>
          </xdr:sp>
          <xdr:sp macro="" textlink="">
            <xdr:nvSpPr>
              <xdr:cNvPr id="66" name="TextBox 65">
                <a:extLst>
                  <a:ext uri="{FF2B5EF4-FFF2-40B4-BE49-F238E27FC236}">
                    <a16:creationId xmlns:a16="http://schemas.microsoft.com/office/drawing/2014/main" id="{41B5EE8B-65AB-14D5-5AD3-9C7559C4EF12}"/>
                  </a:ext>
                </a:extLst>
              </xdr:cNvPr>
              <xdr:cNvSpPr txBox="1"/>
            </xdr:nvSpPr>
            <xdr:spPr>
              <a:xfrm>
                <a:off x="831850" y="3054350"/>
                <a:ext cx="260985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bg1"/>
                    </a:solidFill>
                    <a:effectLst/>
                    <a:latin typeface="+mn-lt"/>
                    <a:ea typeface="+mn-ea"/>
                    <a:cs typeface="+mn-cs"/>
                  </a:rPr>
                  <a:t>Pivot tables, slicers, and dynamic reporting features.</a:t>
                </a:r>
                <a:endParaRPr lang="en-US" sz="1100">
                  <a:solidFill>
                    <a:schemeClr val="bg1"/>
                  </a:solidFill>
                </a:endParaRPr>
              </a:p>
            </xdr:txBody>
          </xdr:sp>
        </xdr:grpSp>
        <xdr:pic>
          <xdr:nvPicPr>
            <xdr:cNvPr id="71" name="Graphic 70" descr="Bullseye with solid fill">
              <a:extLst>
                <a:ext uri="{FF2B5EF4-FFF2-40B4-BE49-F238E27FC236}">
                  <a16:creationId xmlns:a16="http://schemas.microsoft.com/office/drawing/2014/main" id="{12289F85-D84D-4DAC-A76D-B57C163A068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923020" y="3051174"/>
              <a:ext cx="182880" cy="182880"/>
            </a:xfrm>
            <a:prstGeom prst="rect">
              <a:avLst/>
            </a:prstGeom>
          </xdr:spPr>
        </xdr:pic>
      </xdr:grpSp>
      <xdr:grpSp>
        <xdr:nvGrpSpPr>
          <xdr:cNvPr id="74" name="Group 73">
            <a:extLst>
              <a:ext uri="{FF2B5EF4-FFF2-40B4-BE49-F238E27FC236}">
                <a16:creationId xmlns:a16="http://schemas.microsoft.com/office/drawing/2014/main" id="{558B18D5-625F-EACB-324B-F6589719D96E}"/>
              </a:ext>
            </a:extLst>
          </xdr:cNvPr>
          <xdr:cNvGrpSpPr/>
        </xdr:nvGrpSpPr>
        <xdr:grpSpPr>
          <a:xfrm>
            <a:off x="808990" y="3862072"/>
            <a:ext cx="3407410" cy="1099820"/>
            <a:chOff x="8384540" y="2708910"/>
            <a:chExt cx="3407410" cy="1099820"/>
          </a:xfrm>
        </xdr:grpSpPr>
        <xdr:grpSp>
          <xdr:nvGrpSpPr>
            <xdr:cNvPr id="57" name="Group 56">
              <a:extLst>
                <a:ext uri="{FF2B5EF4-FFF2-40B4-BE49-F238E27FC236}">
                  <a16:creationId xmlns:a16="http://schemas.microsoft.com/office/drawing/2014/main" id="{955E4F03-9AD5-4CBF-93D9-D3176C18A93E}"/>
                </a:ext>
              </a:extLst>
            </xdr:cNvPr>
            <xdr:cNvGrpSpPr/>
          </xdr:nvGrpSpPr>
          <xdr:grpSpPr>
            <a:xfrm>
              <a:off x="8384540" y="2708910"/>
              <a:ext cx="3407410" cy="1099820"/>
              <a:chOff x="808990" y="2647950"/>
              <a:chExt cx="3407410" cy="1099820"/>
            </a:xfrm>
          </xdr:grpSpPr>
          <xdr:sp macro="" textlink="">
            <xdr:nvSpPr>
              <xdr:cNvPr id="58" name="Rectangle: Rounded Corners 57">
                <a:extLst>
                  <a:ext uri="{FF2B5EF4-FFF2-40B4-BE49-F238E27FC236}">
                    <a16:creationId xmlns:a16="http://schemas.microsoft.com/office/drawing/2014/main" id="{D0D9CDA0-E03F-8FF2-40C4-F5C713C205CD}"/>
                  </a:ext>
                </a:extLst>
              </xdr:cNvPr>
              <xdr:cNvSpPr/>
            </xdr:nvSpPr>
            <xdr:spPr>
              <a:xfrm>
                <a:off x="808990" y="2647950"/>
                <a:ext cx="3407410" cy="1099820"/>
              </a:xfrm>
              <a:prstGeom prst="roundRect">
                <a:avLst/>
              </a:prstGeom>
              <a:solidFill>
                <a:srgbClr val="1725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FEFAE96D-3AD1-A6D4-58D0-42E3E30B217B}"/>
                  </a:ext>
                </a:extLst>
              </xdr:cNvPr>
              <xdr:cNvSpPr txBox="1"/>
            </xdr:nvSpPr>
            <xdr:spPr>
              <a:xfrm>
                <a:off x="1090930" y="2793999"/>
                <a:ext cx="24384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0" bIns="0" rtlCol="0" anchor="t"/>
              <a:lstStyle/>
              <a:p>
                <a:pPr algn="l"/>
                <a:r>
                  <a:rPr lang="en-US" sz="1100" b="1">
                    <a:solidFill>
                      <a:schemeClr val="bg1"/>
                    </a:solidFill>
                    <a:latin typeface="Segoe UI Black" panose="020B0A02040204020203" pitchFamily="34" charset="0"/>
                    <a:ea typeface="Segoe UI Black" panose="020B0A02040204020203" pitchFamily="34" charset="0"/>
                  </a:rPr>
                  <a:t>Dynamic</a:t>
                </a:r>
                <a:r>
                  <a:rPr lang="en-US" sz="1100" b="1" baseline="0">
                    <a:solidFill>
                      <a:schemeClr val="bg1"/>
                    </a:solidFill>
                    <a:latin typeface="Segoe UI Black" panose="020B0A02040204020203" pitchFamily="34" charset="0"/>
                    <a:ea typeface="Segoe UI Black" panose="020B0A02040204020203" pitchFamily="34" charset="0"/>
                  </a:rPr>
                  <a:t> Charts</a:t>
                </a:r>
                <a:endParaRPr lang="en-US" sz="1100" b="1">
                  <a:solidFill>
                    <a:schemeClr val="bg1"/>
                  </a:solidFill>
                  <a:latin typeface="Segoe UI Black" panose="020B0A02040204020203" pitchFamily="34" charset="0"/>
                  <a:ea typeface="Segoe UI Black" panose="020B0A02040204020203" pitchFamily="34" charset="0"/>
                </a:endParaRPr>
              </a:p>
            </xdr:txBody>
          </xdr:sp>
          <xdr:sp macro="" textlink="">
            <xdr:nvSpPr>
              <xdr:cNvPr id="61" name="TextBox 60">
                <a:extLst>
                  <a:ext uri="{FF2B5EF4-FFF2-40B4-BE49-F238E27FC236}">
                    <a16:creationId xmlns:a16="http://schemas.microsoft.com/office/drawing/2014/main" id="{B3687705-D64F-7B8C-3A96-E1BF5062C09E}"/>
                  </a:ext>
                </a:extLst>
              </xdr:cNvPr>
              <xdr:cNvSpPr txBox="1"/>
            </xdr:nvSpPr>
            <xdr:spPr>
              <a:xfrm>
                <a:off x="850900" y="3054350"/>
                <a:ext cx="259080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bg1"/>
                    </a:solidFill>
                    <a:effectLst/>
                    <a:latin typeface="+mn-lt"/>
                    <a:ea typeface="+mn-ea"/>
                    <a:cs typeface="+mn-cs"/>
                  </a:rPr>
                  <a:t>Monthly sales trends and store-wise analysis visualizations.</a:t>
                </a:r>
                <a:endParaRPr lang="en-US" sz="1100">
                  <a:solidFill>
                    <a:schemeClr val="bg1"/>
                  </a:solidFill>
                </a:endParaRPr>
              </a:p>
            </xdr:txBody>
          </xdr:sp>
        </xdr:grpSp>
        <xdr:pic>
          <xdr:nvPicPr>
            <xdr:cNvPr id="73" name="Graphic 72" descr="Statistics with solid fill">
              <a:extLst>
                <a:ext uri="{FF2B5EF4-FFF2-40B4-BE49-F238E27FC236}">
                  <a16:creationId xmlns:a16="http://schemas.microsoft.com/office/drawing/2014/main" id="{C3935995-C960-4B03-8E27-035FE3E8B42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02650" y="2842258"/>
              <a:ext cx="182880" cy="182880"/>
            </a:xfrm>
            <a:prstGeom prst="rect">
              <a:avLst/>
            </a:prstGeom>
          </xdr:spPr>
        </xdr:pic>
      </xdr:grpSp>
    </xdr:grpSp>
    <xdr:clientData/>
  </xdr:twoCellAnchor>
  <xdr:twoCellAnchor>
    <xdr:from>
      <xdr:col>14</xdr:col>
      <xdr:colOff>0</xdr:colOff>
      <xdr:row>9</xdr:row>
      <xdr:rowOff>133351</xdr:rowOff>
    </xdr:from>
    <xdr:to>
      <xdr:col>25</xdr:col>
      <xdr:colOff>0</xdr:colOff>
      <xdr:row>50</xdr:row>
      <xdr:rowOff>176389</xdr:rowOff>
    </xdr:to>
    <xdr:grpSp>
      <xdr:nvGrpSpPr>
        <xdr:cNvPr id="91" name="Group 90">
          <a:extLst>
            <a:ext uri="{FF2B5EF4-FFF2-40B4-BE49-F238E27FC236}">
              <a16:creationId xmlns:a16="http://schemas.microsoft.com/office/drawing/2014/main" id="{42937CF2-E327-457F-A1D7-5FC16BE7DD07}"/>
            </a:ext>
          </a:extLst>
        </xdr:cNvPr>
        <xdr:cNvGrpSpPr/>
      </xdr:nvGrpSpPr>
      <xdr:grpSpPr>
        <a:xfrm>
          <a:off x="8593667" y="1794934"/>
          <a:ext cx="6752166" cy="7461955"/>
          <a:chOff x="565150" y="1854200"/>
          <a:chExt cx="7487920" cy="3219450"/>
        </a:xfrm>
      </xdr:grpSpPr>
      <xdr:sp macro="" textlink="">
        <xdr:nvSpPr>
          <xdr:cNvPr id="92" name="Rectangle: Rounded Corners 91">
            <a:extLst>
              <a:ext uri="{FF2B5EF4-FFF2-40B4-BE49-F238E27FC236}">
                <a16:creationId xmlns:a16="http://schemas.microsoft.com/office/drawing/2014/main" id="{A29EC1AE-A2B4-7A57-DA04-09845C56BC80}"/>
              </a:ext>
            </a:extLst>
          </xdr:cNvPr>
          <xdr:cNvSpPr/>
        </xdr:nvSpPr>
        <xdr:spPr>
          <a:xfrm>
            <a:off x="598170" y="1854200"/>
            <a:ext cx="7454900" cy="3219450"/>
          </a:xfrm>
          <a:prstGeom prst="roundRect">
            <a:avLst>
              <a:gd name="adj" fmla="val 8161"/>
            </a:avLst>
          </a:prstGeom>
          <a:solidFill>
            <a:srgbClr val="111C34"/>
          </a:solidFill>
          <a:ln w="3175">
            <a:noFill/>
          </a:ln>
          <a:effectLst>
            <a:outerShdw blurRad="127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3" name="TextBox 92">
            <a:extLst>
              <a:ext uri="{FF2B5EF4-FFF2-40B4-BE49-F238E27FC236}">
                <a16:creationId xmlns:a16="http://schemas.microsoft.com/office/drawing/2014/main" id="{A20785AD-8971-AAD6-8503-BEFA32D4E648}"/>
              </a:ext>
            </a:extLst>
          </xdr:cNvPr>
          <xdr:cNvSpPr txBox="1"/>
        </xdr:nvSpPr>
        <xdr:spPr>
          <a:xfrm>
            <a:off x="565150" y="2063750"/>
            <a:ext cx="30988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r>
              <a:rPr lang="en-US" sz="1400" b="0">
                <a:solidFill>
                  <a:schemeClr val="bg1"/>
                </a:solidFill>
                <a:latin typeface="Segoe UI Black" panose="020B0A02040204020203" pitchFamily="34" charset="0"/>
                <a:ea typeface="Segoe UI Black" panose="020B0A02040204020203" pitchFamily="34" charset="0"/>
              </a:rPr>
              <a:t>Dashboard</a:t>
            </a:r>
            <a:r>
              <a:rPr lang="en-US" sz="1400" b="0" baseline="0">
                <a:solidFill>
                  <a:schemeClr val="bg1"/>
                </a:solidFill>
                <a:latin typeface="Segoe UI Black" panose="020B0A02040204020203" pitchFamily="34" charset="0"/>
                <a:ea typeface="Segoe UI Black" panose="020B0A02040204020203" pitchFamily="34" charset="0"/>
              </a:rPr>
              <a:t> Preview</a:t>
            </a:r>
            <a:endParaRPr lang="en-US" sz="1400" b="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14</xdr:col>
      <xdr:colOff>531371</xdr:colOff>
      <xdr:row>15</xdr:row>
      <xdr:rowOff>66941</xdr:rowOff>
    </xdr:from>
    <xdr:to>
      <xdr:col>24</xdr:col>
      <xdr:colOff>75405</xdr:colOff>
      <xdr:row>44</xdr:row>
      <xdr:rowOff>106628</xdr:rowOff>
    </xdr:to>
    <xdr:sp macro="" textlink="">
      <xdr:nvSpPr>
        <xdr:cNvPr id="119" name="Rectangle: Rounded Corners 118">
          <a:extLst>
            <a:ext uri="{FF2B5EF4-FFF2-40B4-BE49-F238E27FC236}">
              <a16:creationId xmlns:a16="http://schemas.microsoft.com/office/drawing/2014/main" id="{3B17EF2B-9AA8-282A-DD5C-FB89465F0476}"/>
            </a:ext>
          </a:extLst>
        </xdr:cNvPr>
        <xdr:cNvSpPr/>
      </xdr:nvSpPr>
      <xdr:spPr>
        <a:xfrm>
          <a:off x="9026260" y="2903274"/>
          <a:ext cx="5611812" cy="5359576"/>
        </a:xfrm>
        <a:prstGeom prst="roundRect">
          <a:avLst>
            <a:gd name="adj" fmla="val 5265"/>
          </a:avLst>
        </a:prstGeom>
        <a:blipFill dpi="0" rotWithShape="1">
          <a:blip xmlns:r="http://schemas.openxmlformats.org/officeDocument/2006/relationships" r:embed="rId9">
            <a:extLst>
              <a:ext uri="{28A0092B-C50C-407E-A947-70E740481C1C}">
                <a14:useLocalDpi xmlns:a14="http://schemas.microsoft.com/office/drawing/2010/main" val="0"/>
              </a:ext>
            </a:extLst>
          </a:blip>
          <a:srcRect/>
          <a:tile tx="25400" ty="1905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43</xdr:row>
      <xdr:rowOff>0</xdr:rowOff>
    </xdr:from>
    <xdr:to>
      <xdr:col>13</xdr:col>
      <xdr:colOff>0</xdr:colOff>
      <xdr:row>51</xdr:row>
      <xdr:rowOff>0</xdr:rowOff>
    </xdr:to>
    <xdr:grpSp>
      <xdr:nvGrpSpPr>
        <xdr:cNvPr id="123" name="Group 122">
          <a:extLst>
            <a:ext uri="{FF2B5EF4-FFF2-40B4-BE49-F238E27FC236}">
              <a16:creationId xmlns:a16="http://schemas.microsoft.com/office/drawing/2014/main" id="{4C9FFAF9-1044-4D8C-9088-C6B14BE8674C}"/>
            </a:ext>
          </a:extLst>
        </xdr:cNvPr>
        <xdr:cNvGrpSpPr/>
      </xdr:nvGrpSpPr>
      <xdr:grpSpPr>
        <a:xfrm>
          <a:off x="613833" y="7821083"/>
          <a:ext cx="7366000" cy="1439334"/>
          <a:chOff x="539750" y="5349875"/>
          <a:chExt cx="7564438" cy="1460500"/>
        </a:xfrm>
      </xdr:grpSpPr>
      <xdr:sp macro="" textlink="">
        <xdr:nvSpPr>
          <xdr:cNvPr id="124" name="Rectangle: Rounded Corners 123">
            <a:extLst>
              <a:ext uri="{FF2B5EF4-FFF2-40B4-BE49-F238E27FC236}">
                <a16:creationId xmlns:a16="http://schemas.microsoft.com/office/drawing/2014/main" id="{EEA57D2B-8C3A-2B55-7CE4-FACE958C22F9}"/>
              </a:ext>
            </a:extLst>
          </xdr:cNvPr>
          <xdr:cNvSpPr/>
        </xdr:nvSpPr>
        <xdr:spPr>
          <a:xfrm>
            <a:off x="539750" y="5349875"/>
            <a:ext cx="7564438" cy="1460500"/>
          </a:xfrm>
          <a:prstGeom prst="roundRect">
            <a:avLst>
              <a:gd name="adj" fmla="val 13913"/>
            </a:avLst>
          </a:prstGeom>
          <a:solidFill>
            <a:srgbClr val="111C34"/>
          </a:solidFill>
          <a:ln w="3175">
            <a:noFill/>
          </a:ln>
          <a:effectLst>
            <a:outerShdw blurRad="127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TextBox 124">
            <a:extLst>
              <a:ext uri="{FF2B5EF4-FFF2-40B4-BE49-F238E27FC236}">
                <a16:creationId xmlns:a16="http://schemas.microsoft.com/office/drawing/2014/main" id="{E22BC39A-19E0-1107-14FD-90F1399CF877}"/>
              </a:ext>
            </a:extLst>
          </xdr:cNvPr>
          <xdr:cNvSpPr txBox="1"/>
        </xdr:nvSpPr>
        <xdr:spPr>
          <a:xfrm>
            <a:off x="846154" y="5556961"/>
            <a:ext cx="25781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Segoe UI Black" panose="020B0A02040204020203" pitchFamily="34" charset="0"/>
                <a:ea typeface="Segoe UI Black" panose="020B0A02040204020203" pitchFamily="34" charset="0"/>
                <a:cs typeface="+mn-cs"/>
              </a:rPr>
              <a:t>Project Navigation</a:t>
            </a:r>
          </a:p>
        </xdr:txBody>
      </xdr:sp>
      <xdr:sp macro="" textlink="">
        <xdr:nvSpPr>
          <xdr:cNvPr id="126" name="Rectangle: Rounded Corners 125">
            <a:hlinkClick xmlns:r="http://schemas.openxmlformats.org/officeDocument/2006/relationships" r:id="rId10"/>
            <a:extLst>
              <a:ext uri="{FF2B5EF4-FFF2-40B4-BE49-F238E27FC236}">
                <a16:creationId xmlns:a16="http://schemas.microsoft.com/office/drawing/2014/main" id="{A8C04D34-5AD9-F4A0-ACC4-A1D27210CCC4}"/>
              </a:ext>
            </a:extLst>
          </xdr:cNvPr>
          <xdr:cNvSpPr/>
        </xdr:nvSpPr>
        <xdr:spPr>
          <a:xfrm>
            <a:off x="896938" y="6042025"/>
            <a:ext cx="1650682" cy="362585"/>
          </a:xfrm>
          <a:prstGeom prst="roundRect">
            <a:avLst/>
          </a:prstGeom>
          <a:gradFill>
            <a:gsLst>
              <a:gs pos="0">
                <a:srgbClr val="4A90E2"/>
              </a:gs>
              <a:gs pos="100000">
                <a:srgbClr val="246BFD"/>
              </a:gs>
            </a:gsLst>
            <a:lin ang="5400000" scaled="1"/>
          </a:gradFill>
          <a:ln>
            <a:noFill/>
          </a:ln>
          <a:effectLst>
            <a:outerShdw blurRad="63500" sx="102000" sy="102000" algn="c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ptos" panose="020B0004020202020204" pitchFamily="34" charset="0"/>
                <a:ea typeface="Segoe UI Black" panose="020B0A02040204020203" pitchFamily="34" charset="0"/>
              </a:rPr>
              <a:t>Dashboard</a:t>
            </a:r>
            <a:r>
              <a:rPr lang="en-US" sz="1100" b="1"/>
              <a:t> </a:t>
            </a:r>
          </a:p>
        </xdr:txBody>
      </xdr:sp>
      <xdr:sp macro="" textlink="">
        <xdr:nvSpPr>
          <xdr:cNvPr id="127" name="Rectangle: Rounded Corners 126">
            <a:hlinkClick xmlns:r="http://schemas.openxmlformats.org/officeDocument/2006/relationships" r:id="rId11"/>
            <a:extLst>
              <a:ext uri="{FF2B5EF4-FFF2-40B4-BE49-F238E27FC236}">
                <a16:creationId xmlns:a16="http://schemas.microsoft.com/office/drawing/2014/main" id="{D82F7B7F-D951-A648-C9C7-E239642DC269}"/>
              </a:ext>
            </a:extLst>
          </xdr:cNvPr>
          <xdr:cNvSpPr/>
        </xdr:nvSpPr>
        <xdr:spPr>
          <a:xfrm>
            <a:off x="2984500" y="6022975"/>
            <a:ext cx="1650683" cy="362585"/>
          </a:xfrm>
          <a:prstGeom prst="roundRect">
            <a:avLst/>
          </a:prstGeom>
          <a:gradFill>
            <a:gsLst>
              <a:gs pos="0">
                <a:srgbClr val="4A90E2"/>
              </a:gs>
              <a:gs pos="100000">
                <a:srgbClr val="246BFD"/>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lt1"/>
                </a:solidFill>
                <a:latin typeface="Aptos" panose="020B0004020202020204" pitchFamily="34" charset="0"/>
                <a:ea typeface="+mn-ea"/>
                <a:cs typeface="+mn-cs"/>
              </a:rPr>
              <a:t>Data Cleaning</a:t>
            </a:r>
          </a:p>
        </xdr:txBody>
      </xdr:sp>
      <xdr:sp macro="" textlink="">
        <xdr:nvSpPr>
          <xdr:cNvPr id="2048" name="Rectangle: Rounded Corners 2047">
            <a:hlinkClick xmlns:r="http://schemas.openxmlformats.org/officeDocument/2006/relationships" r:id="rId12"/>
            <a:extLst>
              <a:ext uri="{FF2B5EF4-FFF2-40B4-BE49-F238E27FC236}">
                <a16:creationId xmlns:a16="http://schemas.microsoft.com/office/drawing/2014/main" id="{26099E6E-2B1C-5F9B-417C-B45D3EAC266F}"/>
              </a:ext>
            </a:extLst>
          </xdr:cNvPr>
          <xdr:cNvSpPr/>
        </xdr:nvSpPr>
        <xdr:spPr>
          <a:xfrm>
            <a:off x="5073650" y="6022975"/>
            <a:ext cx="1650683" cy="362585"/>
          </a:xfrm>
          <a:prstGeom prst="roundRect">
            <a:avLst/>
          </a:prstGeom>
          <a:gradFill>
            <a:gsLst>
              <a:gs pos="0">
                <a:srgbClr val="4A90E2"/>
              </a:gs>
              <a:gs pos="100000">
                <a:srgbClr val="246BFD"/>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lt1"/>
                </a:solidFill>
                <a:latin typeface="Aptos" panose="020B0004020202020204" pitchFamily="34" charset="0"/>
                <a:ea typeface="+mn-ea"/>
                <a:cs typeface="+mn-cs"/>
              </a:rPr>
              <a:t>Pivot Analysis</a:t>
            </a:r>
          </a:p>
        </xdr:txBody>
      </xdr:sp>
    </xdr:grpSp>
    <xdr:clientData/>
  </xdr:twoCellAnchor>
  <xdr:twoCellAnchor>
    <xdr:from>
      <xdr:col>1</xdr:col>
      <xdr:colOff>0</xdr:colOff>
      <xdr:row>30</xdr:row>
      <xdr:rowOff>0</xdr:rowOff>
    </xdr:from>
    <xdr:to>
      <xdr:col>13</xdr:col>
      <xdr:colOff>0</xdr:colOff>
      <xdr:row>40</xdr:row>
      <xdr:rowOff>96839</xdr:rowOff>
    </xdr:to>
    <xdr:grpSp>
      <xdr:nvGrpSpPr>
        <xdr:cNvPr id="2064" name="Group 2063">
          <a:extLst>
            <a:ext uri="{FF2B5EF4-FFF2-40B4-BE49-F238E27FC236}">
              <a16:creationId xmlns:a16="http://schemas.microsoft.com/office/drawing/2014/main" id="{CE6B3E11-5F67-6CBF-9004-A7EFF18E56D2}"/>
            </a:ext>
          </a:extLst>
        </xdr:cNvPr>
        <xdr:cNvGrpSpPr/>
      </xdr:nvGrpSpPr>
      <xdr:grpSpPr>
        <a:xfrm>
          <a:off x="613833" y="5482167"/>
          <a:ext cx="7366000" cy="1896005"/>
          <a:chOff x="582613" y="5575299"/>
          <a:chExt cx="7543800" cy="1938339"/>
        </a:xfrm>
      </xdr:grpSpPr>
      <xdr:sp macro="" textlink="">
        <xdr:nvSpPr>
          <xdr:cNvPr id="2056" name="Rectangle: Rounded Corners 2055">
            <a:extLst>
              <a:ext uri="{FF2B5EF4-FFF2-40B4-BE49-F238E27FC236}">
                <a16:creationId xmlns:a16="http://schemas.microsoft.com/office/drawing/2014/main" id="{E3D22432-02FC-69B4-89FF-4A018ACD6A0B}"/>
              </a:ext>
            </a:extLst>
          </xdr:cNvPr>
          <xdr:cNvSpPr/>
        </xdr:nvSpPr>
        <xdr:spPr>
          <a:xfrm>
            <a:off x="582613" y="5575299"/>
            <a:ext cx="7543800" cy="1938339"/>
          </a:xfrm>
          <a:prstGeom prst="roundRect">
            <a:avLst>
              <a:gd name="adj" fmla="val 13913"/>
            </a:avLst>
          </a:prstGeom>
          <a:solidFill>
            <a:srgbClr val="111C34"/>
          </a:solidFill>
          <a:ln w="3175">
            <a:noFill/>
          </a:ln>
          <a:effectLst>
            <a:outerShdw blurRad="127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57" name="TextBox 2056">
            <a:extLst>
              <a:ext uri="{FF2B5EF4-FFF2-40B4-BE49-F238E27FC236}">
                <a16:creationId xmlns:a16="http://schemas.microsoft.com/office/drawing/2014/main" id="{F03B7F6F-F363-6DD2-9483-E1CE38D84982}"/>
              </a:ext>
            </a:extLst>
          </xdr:cNvPr>
          <xdr:cNvSpPr txBox="1"/>
        </xdr:nvSpPr>
        <xdr:spPr>
          <a:xfrm>
            <a:off x="867479" y="5869853"/>
            <a:ext cx="2571066" cy="46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Segoe UI Black" panose="020B0A02040204020203" pitchFamily="34" charset="0"/>
                <a:ea typeface="Segoe UI Black" panose="020B0A02040204020203" pitchFamily="34" charset="0"/>
                <a:cs typeface="+mn-cs"/>
              </a:rPr>
              <a:t>Tools Used</a:t>
            </a:r>
          </a:p>
        </xdr:txBody>
      </xdr:sp>
      <xdr:sp macro="" textlink="">
        <xdr:nvSpPr>
          <xdr:cNvPr id="2058" name="Rectangle: Rounded Corners 2057">
            <a:extLst>
              <a:ext uri="{FF2B5EF4-FFF2-40B4-BE49-F238E27FC236}">
                <a16:creationId xmlns:a16="http://schemas.microsoft.com/office/drawing/2014/main" id="{F47CC172-9DED-3D62-EAD4-DFCC8C1096D0}"/>
              </a:ext>
            </a:extLst>
          </xdr:cNvPr>
          <xdr:cNvSpPr/>
        </xdr:nvSpPr>
        <xdr:spPr>
          <a:xfrm>
            <a:off x="946742" y="6365748"/>
            <a:ext cx="704510" cy="369085"/>
          </a:xfrm>
          <a:prstGeom prst="roundRect">
            <a:avLst/>
          </a:prstGeom>
          <a:solidFill>
            <a:srgbClr val="17254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latin typeface="Aptos" panose="020B0004020202020204" pitchFamily="34" charset="0"/>
                <a:ea typeface="Segoe UI Black" panose="020B0A02040204020203" pitchFamily="34" charset="0"/>
              </a:rPr>
              <a:t>Excel</a:t>
            </a:r>
            <a:r>
              <a:rPr lang="en-US" sz="1100" b="0"/>
              <a:t> </a:t>
            </a:r>
          </a:p>
        </xdr:txBody>
      </xdr:sp>
      <xdr:sp macro="" textlink="">
        <xdr:nvSpPr>
          <xdr:cNvPr id="2059" name="Rectangle: Rounded Corners 2058">
            <a:extLst>
              <a:ext uri="{FF2B5EF4-FFF2-40B4-BE49-F238E27FC236}">
                <a16:creationId xmlns:a16="http://schemas.microsoft.com/office/drawing/2014/main" id="{1F9175ED-46D2-C544-2D7A-A66400648801}"/>
              </a:ext>
            </a:extLst>
          </xdr:cNvPr>
          <xdr:cNvSpPr/>
        </xdr:nvSpPr>
        <xdr:spPr>
          <a:xfrm>
            <a:off x="1800394" y="6365748"/>
            <a:ext cx="1092199" cy="365760"/>
          </a:xfrm>
          <a:prstGeom prst="roundRect">
            <a:avLst/>
          </a:prstGeom>
          <a:solidFill>
            <a:srgbClr val="17254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latin typeface="Aptos" panose="020B0004020202020204" pitchFamily="34" charset="0"/>
                <a:ea typeface="Segoe UI Black" panose="020B0A02040204020203" pitchFamily="34" charset="0"/>
              </a:rPr>
              <a:t>Power</a:t>
            </a:r>
            <a:r>
              <a:rPr lang="en-US" sz="1100" b="0" baseline="0">
                <a:latin typeface="Aptos" panose="020B0004020202020204" pitchFamily="34" charset="0"/>
                <a:ea typeface="Segoe UI Black" panose="020B0A02040204020203" pitchFamily="34" charset="0"/>
              </a:rPr>
              <a:t> Query</a:t>
            </a:r>
            <a:r>
              <a:rPr lang="en-US" sz="1100" b="0"/>
              <a:t> </a:t>
            </a:r>
          </a:p>
        </xdr:txBody>
      </xdr:sp>
      <xdr:sp macro="" textlink="">
        <xdr:nvSpPr>
          <xdr:cNvPr id="2060" name="Rectangle: Rounded Corners 2059">
            <a:extLst>
              <a:ext uri="{FF2B5EF4-FFF2-40B4-BE49-F238E27FC236}">
                <a16:creationId xmlns:a16="http://schemas.microsoft.com/office/drawing/2014/main" id="{AF7718B0-2BA3-BD4F-95AA-EE44712B2890}"/>
              </a:ext>
            </a:extLst>
          </xdr:cNvPr>
          <xdr:cNvSpPr/>
        </xdr:nvSpPr>
        <xdr:spPr>
          <a:xfrm>
            <a:off x="3041735" y="6365748"/>
            <a:ext cx="1092199" cy="365760"/>
          </a:xfrm>
          <a:prstGeom prst="roundRect">
            <a:avLst/>
          </a:prstGeom>
          <a:solidFill>
            <a:srgbClr val="17254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latin typeface="Aptos" panose="020B0004020202020204" pitchFamily="34" charset="0"/>
                <a:ea typeface="Segoe UI Black" panose="020B0A02040204020203" pitchFamily="34" charset="0"/>
              </a:rPr>
              <a:t>Pivot Tables</a:t>
            </a:r>
            <a:endParaRPr lang="en-US" sz="1100" b="0"/>
          </a:p>
        </xdr:txBody>
      </xdr:sp>
      <xdr:sp macro="" textlink="">
        <xdr:nvSpPr>
          <xdr:cNvPr id="2061" name="Rectangle: Rounded Corners 2060">
            <a:extLst>
              <a:ext uri="{FF2B5EF4-FFF2-40B4-BE49-F238E27FC236}">
                <a16:creationId xmlns:a16="http://schemas.microsoft.com/office/drawing/2014/main" id="{4DF41F8B-C79E-200D-C1F6-631CFCA6D1E3}"/>
              </a:ext>
            </a:extLst>
          </xdr:cNvPr>
          <xdr:cNvSpPr/>
        </xdr:nvSpPr>
        <xdr:spPr>
          <a:xfrm>
            <a:off x="4283076" y="6365748"/>
            <a:ext cx="1092199" cy="365760"/>
          </a:xfrm>
          <a:prstGeom prst="roundRect">
            <a:avLst/>
          </a:prstGeom>
          <a:solidFill>
            <a:srgbClr val="17254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latin typeface="Aptos" panose="020B0004020202020204" pitchFamily="34" charset="0"/>
                <a:ea typeface="Segoe UI Black" panose="020B0A02040204020203" pitchFamily="34" charset="0"/>
              </a:rPr>
              <a:t>Charts</a:t>
            </a:r>
            <a:endParaRPr lang="en-US" sz="1100" b="0"/>
          </a:p>
        </xdr:txBody>
      </xdr:sp>
      <xdr:sp macro="" textlink="">
        <xdr:nvSpPr>
          <xdr:cNvPr id="2062" name="Rectangle: Rounded Corners 2061">
            <a:extLst>
              <a:ext uri="{FF2B5EF4-FFF2-40B4-BE49-F238E27FC236}">
                <a16:creationId xmlns:a16="http://schemas.microsoft.com/office/drawing/2014/main" id="{1DF70F7D-46B0-4651-07F9-DD03630C8113}"/>
              </a:ext>
            </a:extLst>
          </xdr:cNvPr>
          <xdr:cNvSpPr/>
        </xdr:nvSpPr>
        <xdr:spPr>
          <a:xfrm>
            <a:off x="935038" y="6910386"/>
            <a:ext cx="1092199" cy="365760"/>
          </a:xfrm>
          <a:prstGeom prst="roundRect">
            <a:avLst/>
          </a:prstGeom>
          <a:solidFill>
            <a:srgbClr val="17254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latin typeface="Aptos" panose="020B0004020202020204" pitchFamily="34" charset="0"/>
                <a:ea typeface="Segoe UI Black" panose="020B0A02040204020203" pitchFamily="34" charset="0"/>
              </a:rPr>
              <a:t>Slicers</a:t>
            </a:r>
            <a:endParaRPr lang="en-US" sz="1100" b="0"/>
          </a:p>
        </xdr:txBody>
      </xdr:sp>
      <xdr:sp macro="" textlink="">
        <xdr:nvSpPr>
          <xdr:cNvPr id="2063" name="Rectangle: Rounded Corners 2062">
            <a:extLst>
              <a:ext uri="{FF2B5EF4-FFF2-40B4-BE49-F238E27FC236}">
                <a16:creationId xmlns:a16="http://schemas.microsoft.com/office/drawing/2014/main" id="{1CABE7FD-C1B5-4E43-A8FB-627C895D8F4A}"/>
              </a:ext>
            </a:extLst>
          </xdr:cNvPr>
          <xdr:cNvSpPr/>
        </xdr:nvSpPr>
        <xdr:spPr>
          <a:xfrm>
            <a:off x="2187576" y="6910386"/>
            <a:ext cx="1679574" cy="365760"/>
          </a:xfrm>
          <a:prstGeom prst="roundRect">
            <a:avLst/>
          </a:prstGeom>
          <a:solidFill>
            <a:srgbClr val="17254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latin typeface="Aptos" panose="020B0004020202020204" pitchFamily="34" charset="0"/>
                <a:ea typeface="Segoe UI Black" panose="020B0A02040204020203" pitchFamily="34" charset="0"/>
              </a:rPr>
              <a:t>Data Visualization</a:t>
            </a:r>
            <a:endParaRPr lang="en-US" sz="1100" b="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115824</xdr:colOff>
      <xdr:row>57</xdr:row>
      <xdr:rowOff>0</xdr:rowOff>
    </xdr:to>
    <xdr:sp macro="" textlink="">
      <xdr:nvSpPr>
        <xdr:cNvPr id="3" name="Rectangle 2">
          <a:extLst>
            <a:ext uri="{FF2B5EF4-FFF2-40B4-BE49-F238E27FC236}">
              <a16:creationId xmlns:a16="http://schemas.microsoft.com/office/drawing/2014/main" id="{71110DD5-CF33-5633-49DE-8103455CC820}"/>
            </a:ext>
          </a:extLst>
        </xdr:cNvPr>
        <xdr:cNvSpPr/>
      </xdr:nvSpPr>
      <xdr:spPr>
        <a:xfrm>
          <a:off x="0" y="0"/>
          <a:ext cx="11698224" cy="10496550"/>
        </a:xfrm>
        <a:prstGeom prst="rect">
          <a:avLst/>
        </a:prstGeom>
        <a:solidFill>
          <a:srgbClr val="071028"/>
        </a:solidFill>
        <a:ln cap="rnd">
          <a:no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0" tIns="914400" rIns="914400" rtlCol="0" anchor="t" anchorCtr="1"/>
        <a:lstStyle/>
        <a:p>
          <a:pPr algn="l"/>
          <a:endParaRPr lang="en-US" sz="1100">
            <a:solidFill>
              <a:srgbClr val="00B050"/>
            </a:solidFill>
          </a:endParaRPr>
        </a:p>
      </xdr:txBody>
    </xdr:sp>
    <xdr:clientData/>
  </xdr:twoCellAnchor>
  <xdr:twoCellAnchor>
    <xdr:from>
      <xdr:col>0</xdr:col>
      <xdr:colOff>0</xdr:colOff>
      <xdr:row>0</xdr:row>
      <xdr:rowOff>57150</xdr:rowOff>
    </xdr:from>
    <xdr:to>
      <xdr:col>8</xdr:col>
      <xdr:colOff>260350</xdr:colOff>
      <xdr:row>2</xdr:row>
      <xdr:rowOff>44450</xdr:rowOff>
    </xdr:to>
    <xdr:sp macro="" textlink="">
      <xdr:nvSpPr>
        <xdr:cNvPr id="4" name="TextBox 3">
          <a:extLst>
            <a:ext uri="{FF2B5EF4-FFF2-40B4-BE49-F238E27FC236}">
              <a16:creationId xmlns:a16="http://schemas.microsoft.com/office/drawing/2014/main" id="{6F438204-2675-5043-25EC-5AE7583BC714}"/>
            </a:ext>
          </a:extLst>
        </xdr:cNvPr>
        <xdr:cNvSpPr txBox="1"/>
      </xdr:nvSpPr>
      <xdr:spPr>
        <a:xfrm>
          <a:off x="0" y="57150"/>
          <a:ext cx="51371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US" sz="1800" b="1">
              <a:solidFill>
                <a:schemeClr val="bg1"/>
              </a:solidFill>
              <a:latin typeface="Segoe UI" panose="020B0502040204020203" pitchFamily="34" charset="0"/>
              <a:cs typeface="Segoe UI" panose="020B0502040204020203" pitchFamily="34" charset="0"/>
            </a:rPr>
            <a:t>Walmart Sales</a:t>
          </a:r>
          <a:r>
            <a:rPr lang="en-US" sz="1800" b="1" baseline="0">
              <a:solidFill>
                <a:schemeClr val="bg1"/>
              </a:solidFill>
              <a:latin typeface="Segoe UI" panose="020B0502040204020203" pitchFamily="34" charset="0"/>
              <a:cs typeface="Segoe UI" panose="020B0502040204020203" pitchFamily="34" charset="0"/>
            </a:rPr>
            <a:t> Dashboard</a:t>
          </a:r>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0</xdr:colOff>
      <xdr:row>2</xdr:row>
      <xdr:rowOff>12700</xdr:rowOff>
    </xdr:from>
    <xdr:to>
      <xdr:col>7</xdr:col>
      <xdr:colOff>304800</xdr:colOff>
      <xdr:row>3</xdr:row>
      <xdr:rowOff>38100</xdr:rowOff>
    </xdr:to>
    <xdr:sp macro="" textlink="">
      <xdr:nvSpPr>
        <xdr:cNvPr id="5" name="TextBox 4">
          <a:extLst>
            <a:ext uri="{FF2B5EF4-FFF2-40B4-BE49-F238E27FC236}">
              <a16:creationId xmlns:a16="http://schemas.microsoft.com/office/drawing/2014/main" id="{09A94146-134B-ABE3-7A37-55C7A018B7E2}"/>
            </a:ext>
          </a:extLst>
        </xdr:cNvPr>
        <xdr:cNvSpPr txBox="1"/>
      </xdr:nvSpPr>
      <xdr:spPr>
        <a:xfrm>
          <a:off x="0" y="381000"/>
          <a:ext cx="45720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l"/>
          <a:r>
            <a:rPr lang="en-US" sz="900">
              <a:solidFill>
                <a:schemeClr val="bg2">
                  <a:lumMod val="90000"/>
                </a:schemeClr>
              </a:solidFill>
              <a:latin typeface="Segoe UI" panose="020B0502040204020203" pitchFamily="34" charset="0"/>
              <a:cs typeface="Segoe UI" panose="020B0502040204020203" pitchFamily="34" charset="0"/>
            </a:rPr>
            <a:t>Sales and Economics Performance Overview</a:t>
          </a:r>
        </a:p>
      </xdr:txBody>
    </xdr:sp>
    <xdr:clientData/>
  </xdr:twoCellAnchor>
  <xdr:twoCellAnchor>
    <xdr:from>
      <xdr:col>0</xdr:col>
      <xdr:colOff>533400</xdr:colOff>
      <xdr:row>6</xdr:row>
      <xdr:rowOff>17780</xdr:rowOff>
    </xdr:from>
    <xdr:to>
      <xdr:col>5</xdr:col>
      <xdr:colOff>441052</xdr:colOff>
      <xdr:row>14</xdr:row>
      <xdr:rowOff>113030</xdr:rowOff>
    </xdr:to>
    <xdr:grpSp>
      <xdr:nvGrpSpPr>
        <xdr:cNvPr id="28" name="Group 27">
          <a:extLst>
            <a:ext uri="{FF2B5EF4-FFF2-40B4-BE49-F238E27FC236}">
              <a16:creationId xmlns:a16="http://schemas.microsoft.com/office/drawing/2014/main" id="{5BE741B8-F0EF-BE6A-7EB3-1CDD7041A884}"/>
            </a:ext>
          </a:extLst>
        </xdr:cNvPr>
        <xdr:cNvGrpSpPr/>
      </xdr:nvGrpSpPr>
      <xdr:grpSpPr>
        <a:xfrm>
          <a:off x="533400" y="1122680"/>
          <a:ext cx="2955652" cy="1568450"/>
          <a:chOff x="2385060" y="1300480"/>
          <a:chExt cx="2955652" cy="1558290"/>
        </a:xfrm>
      </xdr:grpSpPr>
      <xdr:sp macro="" textlink="">
        <xdr:nvSpPr>
          <xdr:cNvPr id="6" name="KPI_Card_1">
            <a:extLst>
              <a:ext uri="{FF2B5EF4-FFF2-40B4-BE49-F238E27FC236}">
                <a16:creationId xmlns:a16="http://schemas.microsoft.com/office/drawing/2014/main" id="{FD7A82F1-3316-9A07-EFD8-47E2F0365A21}"/>
              </a:ext>
            </a:extLst>
          </xdr:cNvPr>
          <xdr:cNvSpPr/>
        </xdr:nvSpPr>
        <xdr:spPr>
          <a:xfrm>
            <a:off x="2385060" y="1301750"/>
            <a:ext cx="2934970" cy="1557020"/>
          </a:xfrm>
          <a:prstGeom prst="roundRect">
            <a:avLst>
              <a:gd name="adj" fmla="val 19583"/>
            </a:avLst>
          </a:prstGeom>
          <a:solidFill>
            <a:srgbClr val="111C3D">
              <a:alpha val="40000"/>
            </a:srgbClr>
          </a:solidFill>
          <a:ln w="3175" cap="rnd">
            <a:solidFill>
              <a:srgbClr val="FFFFFF">
                <a:alpha val="25000"/>
              </a:srgbClr>
            </a:solidFill>
          </a:ln>
          <a:effectLst>
            <a:outerShdw blurRad="3175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4" name="Freeform: Shape 23">
            <a:extLst>
              <a:ext uri="{FF2B5EF4-FFF2-40B4-BE49-F238E27FC236}">
                <a16:creationId xmlns:a16="http://schemas.microsoft.com/office/drawing/2014/main" id="{266B5E42-45A8-61EA-7E0C-F4B0103E1CF6}"/>
              </a:ext>
            </a:extLst>
          </xdr:cNvPr>
          <xdr:cNvSpPr/>
        </xdr:nvSpPr>
        <xdr:spPr>
          <a:xfrm>
            <a:off x="4094480" y="1300480"/>
            <a:ext cx="1246232" cy="1250679"/>
          </a:xfrm>
          <a:custGeom>
            <a:avLst/>
            <a:gdLst>
              <a:gd name="csX0" fmla="*/ 38863 w 1242422"/>
              <a:gd name="csY0" fmla="*/ 0 h 1249409"/>
              <a:gd name="csX1" fmla="*/ 887488 w 1242422"/>
              <a:gd name="csY1" fmla="*/ 0 h 1249409"/>
              <a:gd name="csX2" fmla="*/ 1242422 w 1242422"/>
              <a:gd name="csY2" fmla="*/ 354934 h 1249409"/>
              <a:gd name="csX3" fmla="*/ 1242422 w 1242422"/>
              <a:gd name="csY3" fmla="*/ 1208872 h 1249409"/>
              <a:gd name="csX4" fmla="*/ 1164277 w 1242422"/>
              <a:gd name="csY4" fmla="*/ 1229348 h 1249409"/>
              <a:gd name="csX5" fmla="*/ 968991 w 1242422"/>
              <a:gd name="csY5" fmla="*/ 1249409 h 1249409"/>
              <a:gd name="csX6" fmla="*/ 0 w 1242422"/>
              <a:gd name="csY6" fmla="*/ 261959 h 1249409"/>
              <a:gd name="csX7" fmla="*/ 19687 w 1242422"/>
              <a:gd name="csY7" fmla="*/ 62953 h 124940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242422" h="1249409">
                <a:moveTo>
                  <a:pt x="38863" y="0"/>
                </a:moveTo>
                <a:lnTo>
                  <a:pt x="887488" y="0"/>
                </a:lnTo>
                <a:cubicBezTo>
                  <a:pt x="1083513" y="0"/>
                  <a:pt x="1242422" y="158909"/>
                  <a:pt x="1242422" y="354934"/>
                </a:cubicBezTo>
                <a:lnTo>
                  <a:pt x="1242422" y="1208872"/>
                </a:lnTo>
                <a:lnTo>
                  <a:pt x="1164277" y="1229348"/>
                </a:lnTo>
                <a:cubicBezTo>
                  <a:pt x="1101198" y="1242501"/>
                  <a:pt x="1035886" y="1249409"/>
                  <a:pt x="968991" y="1249409"/>
                </a:cubicBezTo>
                <a:cubicBezTo>
                  <a:pt x="433832" y="1249409"/>
                  <a:pt x="0" y="807313"/>
                  <a:pt x="0" y="261959"/>
                </a:cubicBezTo>
                <a:cubicBezTo>
                  <a:pt x="0" y="193790"/>
                  <a:pt x="6779" y="127234"/>
                  <a:pt x="19687" y="62953"/>
                </a:cubicBezTo>
                <a:close/>
              </a:path>
            </a:pathLst>
          </a:custGeom>
          <a:solidFill>
            <a:srgbClr val="335BAB">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 name="LabelTotalWeeklySales">
            <a:extLst>
              <a:ext uri="{FF2B5EF4-FFF2-40B4-BE49-F238E27FC236}">
                <a16:creationId xmlns:a16="http://schemas.microsoft.com/office/drawing/2014/main" id="{8EE84026-7977-8443-E740-E76E83F15FCA}"/>
              </a:ext>
            </a:extLst>
          </xdr:cNvPr>
          <xdr:cNvSpPr txBox="1"/>
        </xdr:nvSpPr>
        <xdr:spPr>
          <a:xfrm>
            <a:off x="2423160" y="1560830"/>
            <a:ext cx="1524000" cy="33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tx2">
                    <a:lumMod val="60000"/>
                    <a:lumOff val="40000"/>
                  </a:schemeClr>
                </a:solidFill>
              </a:rPr>
              <a:t>Total Weekly </a:t>
            </a:r>
            <a:r>
              <a:rPr lang="en-US" sz="1000" b="0">
                <a:solidFill>
                  <a:schemeClr val="tx2">
                    <a:lumMod val="60000"/>
                    <a:lumOff val="40000"/>
                  </a:schemeClr>
                </a:solidFill>
                <a:latin typeface="Segoe UI" panose="020B0502040204020203" pitchFamily="34" charset="0"/>
                <a:cs typeface="Segoe UI" panose="020B0502040204020203" pitchFamily="34" charset="0"/>
              </a:rPr>
              <a:t>Sales</a:t>
            </a:r>
            <a:endParaRPr lang="en-US" sz="1100" b="0">
              <a:solidFill>
                <a:schemeClr val="tx2">
                  <a:lumMod val="60000"/>
                  <a:lumOff val="40000"/>
                </a:schemeClr>
              </a:solidFill>
              <a:latin typeface="Segoe UI" panose="020B0502040204020203" pitchFamily="34" charset="0"/>
              <a:cs typeface="Segoe UI" panose="020B0502040204020203" pitchFamily="34" charset="0"/>
            </a:endParaRPr>
          </a:p>
        </xdr:txBody>
      </xdr:sp>
      <xdr:sp macro="" textlink="Pivot_Analysis!$C$10">
        <xdr:nvSpPr>
          <xdr:cNvPr id="26" name="TextBoxSales">
            <a:extLst>
              <a:ext uri="{FF2B5EF4-FFF2-40B4-BE49-F238E27FC236}">
                <a16:creationId xmlns:a16="http://schemas.microsoft.com/office/drawing/2014/main" id="{84924147-F37B-FCC5-6294-421B8BD9CF39}"/>
              </a:ext>
            </a:extLst>
          </xdr:cNvPr>
          <xdr:cNvSpPr txBox="1"/>
        </xdr:nvSpPr>
        <xdr:spPr>
          <a:xfrm>
            <a:off x="2423160" y="1905000"/>
            <a:ext cx="1869440" cy="646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B77F1A-1E7E-4448-B54F-2097CEA7B236}" type="TxLink">
              <a:rPr lang="en-US" sz="2400" b="0" i="0" u="none" strike="noStrike">
                <a:solidFill>
                  <a:schemeClr val="bg1"/>
                </a:solidFill>
                <a:latin typeface="Impact" panose="020B0806030902050204" pitchFamily="34" charset="0"/>
                <a:cs typeface="Calibri"/>
              </a:rPr>
              <a:pPr/>
              <a:t> $520.78 M </a:t>
            </a:fld>
            <a:endParaRPr lang="en-US" sz="4800" b="1">
              <a:solidFill>
                <a:schemeClr val="bg1"/>
              </a:solidFill>
              <a:latin typeface="Impact" panose="020B0806030902050204" pitchFamily="34" charset="0"/>
              <a:cs typeface="Segoe UI" panose="020B0502040204020203" pitchFamily="34" charset="0"/>
            </a:endParaRPr>
          </a:p>
        </xdr:txBody>
      </xdr:sp>
      <xdr:sp macro="" textlink="">
        <xdr:nvSpPr>
          <xdr:cNvPr id="27" name="LabelRemark_1">
            <a:extLst>
              <a:ext uri="{FF2B5EF4-FFF2-40B4-BE49-F238E27FC236}">
                <a16:creationId xmlns:a16="http://schemas.microsoft.com/office/drawing/2014/main" id="{44B8BE65-F341-A44C-3964-6430A0E5B7D7}"/>
              </a:ext>
            </a:extLst>
          </xdr:cNvPr>
          <xdr:cNvSpPr txBox="1"/>
        </xdr:nvSpPr>
        <xdr:spPr>
          <a:xfrm>
            <a:off x="2423160" y="2338070"/>
            <a:ext cx="2611120" cy="242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B050"/>
                </a:solidFill>
                <a:latin typeface="Segoe UI" panose="020B0502040204020203" pitchFamily="34" charset="0"/>
                <a:cs typeface="Segoe UI" panose="020B0502040204020203" pitchFamily="34" charset="0"/>
              </a:rPr>
              <a:t> 8.4</a:t>
            </a:r>
            <a:r>
              <a:rPr lang="en-US" sz="1100" b="1" baseline="0">
                <a:solidFill>
                  <a:srgbClr val="00B050"/>
                </a:solidFill>
                <a:latin typeface="Segoe UI" panose="020B0502040204020203" pitchFamily="34" charset="0"/>
                <a:cs typeface="Segoe UI" panose="020B0502040204020203" pitchFamily="34" charset="0"/>
              </a:rPr>
              <a:t>% Growth </a:t>
            </a:r>
            <a:endParaRPr lang="en-US" sz="1100" b="1">
              <a:solidFill>
                <a:srgbClr val="00B050"/>
              </a:solidFill>
              <a:latin typeface="Segoe UI" panose="020B0502040204020203" pitchFamily="34" charset="0"/>
              <a:cs typeface="Segoe UI" panose="020B0502040204020203" pitchFamily="34" charset="0"/>
            </a:endParaRPr>
          </a:p>
        </xdr:txBody>
      </xdr:sp>
    </xdr:grpSp>
    <xdr:clientData/>
  </xdr:twoCellAnchor>
  <xdr:twoCellAnchor>
    <xdr:from>
      <xdr:col>6</xdr:col>
      <xdr:colOff>563880</xdr:colOff>
      <xdr:row>6</xdr:row>
      <xdr:rowOff>17780</xdr:rowOff>
    </xdr:from>
    <xdr:to>
      <xdr:col>11</xdr:col>
      <xdr:colOff>486772</xdr:colOff>
      <xdr:row>14</xdr:row>
      <xdr:rowOff>124460</xdr:rowOff>
    </xdr:to>
    <xdr:grpSp>
      <xdr:nvGrpSpPr>
        <xdr:cNvPr id="29" name="Group 28">
          <a:extLst>
            <a:ext uri="{FF2B5EF4-FFF2-40B4-BE49-F238E27FC236}">
              <a16:creationId xmlns:a16="http://schemas.microsoft.com/office/drawing/2014/main" id="{CE26844A-A772-4D79-82E9-087B15ECA01E}"/>
            </a:ext>
          </a:extLst>
        </xdr:cNvPr>
        <xdr:cNvGrpSpPr/>
      </xdr:nvGrpSpPr>
      <xdr:grpSpPr>
        <a:xfrm>
          <a:off x="4221480" y="1122680"/>
          <a:ext cx="2970892" cy="1579880"/>
          <a:chOff x="2385060" y="1300480"/>
          <a:chExt cx="2955652" cy="1558290"/>
        </a:xfrm>
      </xdr:grpSpPr>
      <xdr:sp macro="" textlink="">
        <xdr:nvSpPr>
          <xdr:cNvPr id="30" name="KPI_Card_2">
            <a:extLst>
              <a:ext uri="{FF2B5EF4-FFF2-40B4-BE49-F238E27FC236}">
                <a16:creationId xmlns:a16="http://schemas.microsoft.com/office/drawing/2014/main" id="{69DE9B14-EE26-CD93-9C37-F10C67B21E9D}"/>
              </a:ext>
            </a:extLst>
          </xdr:cNvPr>
          <xdr:cNvSpPr/>
        </xdr:nvSpPr>
        <xdr:spPr>
          <a:xfrm>
            <a:off x="2385060" y="1301750"/>
            <a:ext cx="2934970" cy="1557020"/>
          </a:xfrm>
          <a:prstGeom prst="roundRect">
            <a:avLst>
              <a:gd name="adj" fmla="val 19583"/>
            </a:avLst>
          </a:prstGeom>
          <a:solidFill>
            <a:srgbClr val="111C3D">
              <a:alpha val="40000"/>
            </a:srgbClr>
          </a:solidFill>
          <a:ln w="3175" cap="rnd">
            <a:solidFill>
              <a:srgbClr val="FFFFFF">
                <a:alpha val="25000"/>
              </a:srgbClr>
            </a:solidFill>
          </a:ln>
          <a:effectLst>
            <a:outerShdw blurRad="3175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1" name="Freeform: Shape 30">
            <a:extLst>
              <a:ext uri="{FF2B5EF4-FFF2-40B4-BE49-F238E27FC236}">
                <a16:creationId xmlns:a16="http://schemas.microsoft.com/office/drawing/2014/main" id="{FF3489D3-DC68-7C13-15DC-8D4922DAF3A4}"/>
              </a:ext>
            </a:extLst>
          </xdr:cNvPr>
          <xdr:cNvSpPr/>
        </xdr:nvSpPr>
        <xdr:spPr>
          <a:xfrm>
            <a:off x="4094480" y="1300480"/>
            <a:ext cx="1246232" cy="1250679"/>
          </a:xfrm>
          <a:custGeom>
            <a:avLst/>
            <a:gdLst>
              <a:gd name="csX0" fmla="*/ 38863 w 1242422"/>
              <a:gd name="csY0" fmla="*/ 0 h 1249409"/>
              <a:gd name="csX1" fmla="*/ 887488 w 1242422"/>
              <a:gd name="csY1" fmla="*/ 0 h 1249409"/>
              <a:gd name="csX2" fmla="*/ 1242422 w 1242422"/>
              <a:gd name="csY2" fmla="*/ 354934 h 1249409"/>
              <a:gd name="csX3" fmla="*/ 1242422 w 1242422"/>
              <a:gd name="csY3" fmla="*/ 1208872 h 1249409"/>
              <a:gd name="csX4" fmla="*/ 1164277 w 1242422"/>
              <a:gd name="csY4" fmla="*/ 1229348 h 1249409"/>
              <a:gd name="csX5" fmla="*/ 968991 w 1242422"/>
              <a:gd name="csY5" fmla="*/ 1249409 h 1249409"/>
              <a:gd name="csX6" fmla="*/ 0 w 1242422"/>
              <a:gd name="csY6" fmla="*/ 261959 h 1249409"/>
              <a:gd name="csX7" fmla="*/ 19687 w 1242422"/>
              <a:gd name="csY7" fmla="*/ 62953 h 124940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242422" h="1249409">
                <a:moveTo>
                  <a:pt x="38863" y="0"/>
                </a:moveTo>
                <a:lnTo>
                  <a:pt x="887488" y="0"/>
                </a:lnTo>
                <a:cubicBezTo>
                  <a:pt x="1083513" y="0"/>
                  <a:pt x="1242422" y="158909"/>
                  <a:pt x="1242422" y="354934"/>
                </a:cubicBezTo>
                <a:lnTo>
                  <a:pt x="1242422" y="1208872"/>
                </a:lnTo>
                <a:lnTo>
                  <a:pt x="1164277" y="1229348"/>
                </a:lnTo>
                <a:cubicBezTo>
                  <a:pt x="1101198" y="1242501"/>
                  <a:pt x="1035886" y="1249409"/>
                  <a:pt x="968991" y="1249409"/>
                </a:cubicBezTo>
                <a:cubicBezTo>
                  <a:pt x="433832" y="1249409"/>
                  <a:pt x="0" y="807313"/>
                  <a:pt x="0" y="261959"/>
                </a:cubicBezTo>
                <a:cubicBezTo>
                  <a:pt x="0" y="193790"/>
                  <a:pt x="6779" y="127234"/>
                  <a:pt x="19687" y="62953"/>
                </a:cubicBezTo>
                <a:close/>
              </a:path>
            </a:pathLst>
          </a:custGeom>
          <a:solidFill>
            <a:srgbClr val="335BAB">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2" name="LabelTotalWeeklySales">
            <a:extLst>
              <a:ext uri="{FF2B5EF4-FFF2-40B4-BE49-F238E27FC236}">
                <a16:creationId xmlns:a16="http://schemas.microsoft.com/office/drawing/2014/main" id="{799BEEA8-FFC2-5B92-72C0-74D17A60D77F}"/>
              </a:ext>
            </a:extLst>
          </xdr:cNvPr>
          <xdr:cNvSpPr txBox="1"/>
        </xdr:nvSpPr>
        <xdr:spPr>
          <a:xfrm>
            <a:off x="2423160" y="1560830"/>
            <a:ext cx="1524000" cy="33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tx2">
                    <a:lumMod val="60000"/>
                    <a:lumOff val="40000"/>
                  </a:schemeClr>
                </a:solidFill>
              </a:rPr>
              <a:t>Average Sales</a:t>
            </a:r>
            <a:endParaRPr lang="en-US" sz="1100" b="0">
              <a:solidFill>
                <a:schemeClr val="tx2">
                  <a:lumMod val="60000"/>
                  <a:lumOff val="40000"/>
                </a:schemeClr>
              </a:solidFill>
              <a:latin typeface="Segoe UI" panose="020B0502040204020203" pitchFamily="34" charset="0"/>
              <a:cs typeface="Segoe UI" panose="020B0502040204020203" pitchFamily="34" charset="0"/>
            </a:endParaRPr>
          </a:p>
        </xdr:txBody>
      </xdr:sp>
      <xdr:sp macro="" textlink="Pivot_Analysis!$C$17">
        <xdr:nvSpPr>
          <xdr:cNvPr id="33" name="TextBoxAverageSales">
            <a:extLst>
              <a:ext uri="{FF2B5EF4-FFF2-40B4-BE49-F238E27FC236}">
                <a16:creationId xmlns:a16="http://schemas.microsoft.com/office/drawing/2014/main" id="{8516BF82-EA2F-5A2A-3028-979D693CAEBC}"/>
              </a:ext>
            </a:extLst>
          </xdr:cNvPr>
          <xdr:cNvSpPr txBox="1"/>
        </xdr:nvSpPr>
        <xdr:spPr>
          <a:xfrm>
            <a:off x="2423160" y="1905000"/>
            <a:ext cx="1869440" cy="646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12644D-3DF9-4A75-9829-4F94F336F183}" type="TxLink">
              <a:rPr lang="en-US" sz="2400" b="1" i="0" u="none" strike="noStrike">
                <a:solidFill>
                  <a:schemeClr val="bg1"/>
                </a:solidFill>
                <a:latin typeface="Impact" panose="020B0806030902050204" pitchFamily="34" charset="0"/>
                <a:cs typeface="Calibri"/>
              </a:rPr>
              <a:pPr/>
              <a:t> $1.36 M </a:t>
            </a:fld>
            <a:endParaRPr lang="en-US" sz="2400" b="1">
              <a:solidFill>
                <a:schemeClr val="bg1"/>
              </a:solidFill>
              <a:latin typeface="Impact" panose="020B0806030902050204" pitchFamily="34" charset="0"/>
              <a:cs typeface="Segoe UI" panose="020B0502040204020203" pitchFamily="34" charset="0"/>
            </a:endParaRPr>
          </a:p>
        </xdr:txBody>
      </xdr:sp>
      <xdr:sp macro="" textlink="">
        <xdr:nvSpPr>
          <xdr:cNvPr id="34" name="LabelRemark_2">
            <a:extLst>
              <a:ext uri="{FF2B5EF4-FFF2-40B4-BE49-F238E27FC236}">
                <a16:creationId xmlns:a16="http://schemas.microsoft.com/office/drawing/2014/main" id="{F1817D22-2187-A83B-8BA5-50FC0E9EDD44}"/>
              </a:ext>
            </a:extLst>
          </xdr:cNvPr>
          <xdr:cNvSpPr txBox="1"/>
        </xdr:nvSpPr>
        <xdr:spPr>
          <a:xfrm>
            <a:off x="2423160" y="2338070"/>
            <a:ext cx="2611120" cy="242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B050"/>
                </a:solidFill>
                <a:latin typeface="Segoe UI" panose="020B0502040204020203" pitchFamily="34" charset="0"/>
                <a:cs typeface="Segoe UI" panose="020B0502040204020203" pitchFamily="34" charset="0"/>
              </a:rPr>
              <a:t> </a:t>
            </a:r>
            <a:r>
              <a:rPr lang="en-US" sz="1100" b="1">
                <a:solidFill>
                  <a:srgbClr val="00B050"/>
                </a:solidFill>
                <a:latin typeface="Segoe UI" panose="020B0502040204020203" pitchFamily="34" charset="0"/>
                <a:cs typeface="Segoe UI" panose="020B0502040204020203" pitchFamily="34" charset="0"/>
              </a:rPr>
              <a:t>3.1</a:t>
            </a:r>
            <a:r>
              <a:rPr lang="en-US" sz="1100" b="1" baseline="0">
                <a:solidFill>
                  <a:srgbClr val="00B050"/>
                </a:solidFill>
                <a:latin typeface="Segoe UI" panose="020B0502040204020203" pitchFamily="34" charset="0"/>
                <a:cs typeface="Segoe UI" panose="020B0502040204020203" pitchFamily="34" charset="0"/>
              </a:rPr>
              <a:t>% Increase</a:t>
            </a:r>
            <a:endParaRPr lang="en-US" sz="1100" b="1">
              <a:solidFill>
                <a:srgbClr val="00B050"/>
              </a:solidFill>
              <a:latin typeface="Segoe UI" panose="020B0502040204020203" pitchFamily="34" charset="0"/>
              <a:cs typeface="Segoe UI" panose="020B0502040204020203" pitchFamily="34" charset="0"/>
            </a:endParaRPr>
          </a:p>
        </xdr:txBody>
      </xdr:sp>
    </xdr:grpSp>
    <xdr:clientData/>
  </xdr:twoCellAnchor>
  <xdr:twoCellAnchor>
    <xdr:from>
      <xdr:col>13</xdr:col>
      <xdr:colOff>0</xdr:colOff>
      <xdr:row>6</xdr:row>
      <xdr:rowOff>17780</xdr:rowOff>
    </xdr:from>
    <xdr:to>
      <xdr:col>17</xdr:col>
      <xdr:colOff>527412</xdr:colOff>
      <xdr:row>14</xdr:row>
      <xdr:rowOff>121920</xdr:rowOff>
    </xdr:to>
    <xdr:grpSp>
      <xdr:nvGrpSpPr>
        <xdr:cNvPr id="41" name="Group 40">
          <a:extLst>
            <a:ext uri="{FF2B5EF4-FFF2-40B4-BE49-F238E27FC236}">
              <a16:creationId xmlns:a16="http://schemas.microsoft.com/office/drawing/2014/main" id="{D8315C04-E407-4BC7-826F-C18C6EE2D0D3}"/>
            </a:ext>
          </a:extLst>
        </xdr:cNvPr>
        <xdr:cNvGrpSpPr/>
      </xdr:nvGrpSpPr>
      <xdr:grpSpPr>
        <a:xfrm>
          <a:off x="7924800" y="1122680"/>
          <a:ext cx="2965812" cy="1577340"/>
          <a:chOff x="2385060" y="1300480"/>
          <a:chExt cx="2955652" cy="1558290"/>
        </a:xfrm>
      </xdr:grpSpPr>
      <xdr:sp macro="" textlink="">
        <xdr:nvSpPr>
          <xdr:cNvPr id="42" name="KPI_Card_2">
            <a:extLst>
              <a:ext uri="{FF2B5EF4-FFF2-40B4-BE49-F238E27FC236}">
                <a16:creationId xmlns:a16="http://schemas.microsoft.com/office/drawing/2014/main" id="{7948ACBC-B6E2-F461-800C-7A1CA24019CB}"/>
              </a:ext>
            </a:extLst>
          </xdr:cNvPr>
          <xdr:cNvSpPr/>
        </xdr:nvSpPr>
        <xdr:spPr>
          <a:xfrm>
            <a:off x="2385060" y="1301750"/>
            <a:ext cx="2934970" cy="1557020"/>
          </a:xfrm>
          <a:prstGeom prst="roundRect">
            <a:avLst>
              <a:gd name="adj" fmla="val 19583"/>
            </a:avLst>
          </a:prstGeom>
          <a:solidFill>
            <a:srgbClr val="111C3D">
              <a:alpha val="40000"/>
            </a:srgbClr>
          </a:solidFill>
          <a:ln w="3175" cap="rnd">
            <a:solidFill>
              <a:srgbClr val="FFFFFF">
                <a:alpha val="25000"/>
              </a:srgbClr>
            </a:solidFill>
          </a:ln>
          <a:effectLst>
            <a:outerShdw blurRad="3175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3" name="Freeform: Shape 42">
            <a:extLst>
              <a:ext uri="{FF2B5EF4-FFF2-40B4-BE49-F238E27FC236}">
                <a16:creationId xmlns:a16="http://schemas.microsoft.com/office/drawing/2014/main" id="{38420030-25F8-D0B0-E293-672EB8CC629C}"/>
              </a:ext>
            </a:extLst>
          </xdr:cNvPr>
          <xdr:cNvSpPr/>
        </xdr:nvSpPr>
        <xdr:spPr>
          <a:xfrm>
            <a:off x="4094480" y="1300480"/>
            <a:ext cx="1246232" cy="1250679"/>
          </a:xfrm>
          <a:custGeom>
            <a:avLst/>
            <a:gdLst>
              <a:gd name="csX0" fmla="*/ 38863 w 1242422"/>
              <a:gd name="csY0" fmla="*/ 0 h 1249409"/>
              <a:gd name="csX1" fmla="*/ 887488 w 1242422"/>
              <a:gd name="csY1" fmla="*/ 0 h 1249409"/>
              <a:gd name="csX2" fmla="*/ 1242422 w 1242422"/>
              <a:gd name="csY2" fmla="*/ 354934 h 1249409"/>
              <a:gd name="csX3" fmla="*/ 1242422 w 1242422"/>
              <a:gd name="csY3" fmla="*/ 1208872 h 1249409"/>
              <a:gd name="csX4" fmla="*/ 1164277 w 1242422"/>
              <a:gd name="csY4" fmla="*/ 1229348 h 1249409"/>
              <a:gd name="csX5" fmla="*/ 968991 w 1242422"/>
              <a:gd name="csY5" fmla="*/ 1249409 h 1249409"/>
              <a:gd name="csX6" fmla="*/ 0 w 1242422"/>
              <a:gd name="csY6" fmla="*/ 261959 h 1249409"/>
              <a:gd name="csX7" fmla="*/ 19687 w 1242422"/>
              <a:gd name="csY7" fmla="*/ 62953 h 124940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242422" h="1249409">
                <a:moveTo>
                  <a:pt x="38863" y="0"/>
                </a:moveTo>
                <a:lnTo>
                  <a:pt x="887488" y="0"/>
                </a:lnTo>
                <a:cubicBezTo>
                  <a:pt x="1083513" y="0"/>
                  <a:pt x="1242422" y="158909"/>
                  <a:pt x="1242422" y="354934"/>
                </a:cubicBezTo>
                <a:lnTo>
                  <a:pt x="1242422" y="1208872"/>
                </a:lnTo>
                <a:lnTo>
                  <a:pt x="1164277" y="1229348"/>
                </a:lnTo>
                <a:cubicBezTo>
                  <a:pt x="1101198" y="1242501"/>
                  <a:pt x="1035886" y="1249409"/>
                  <a:pt x="968991" y="1249409"/>
                </a:cubicBezTo>
                <a:cubicBezTo>
                  <a:pt x="433832" y="1249409"/>
                  <a:pt x="0" y="807313"/>
                  <a:pt x="0" y="261959"/>
                </a:cubicBezTo>
                <a:cubicBezTo>
                  <a:pt x="0" y="193790"/>
                  <a:pt x="6779" y="127234"/>
                  <a:pt x="19687" y="62953"/>
                </a:cubicBezTo>
                <a:close/>
              </a:path>
            </a:pathLst>
          </a:custGeom>
          <a:solidFill>
            <a:srgbClr val="335BAB">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4" name="LabelTotalWeeklySales">
            <a:extLst>
              <a:ext uri="{FF2B5EF4-FFF2-40B4-BE49-F238E27FC236}">
                <a16:creationId xmlns:a16="http://schemas.microsoft.com/office/drawing/2014/main" id="{21498978-7D1A-0E23-3858-1919B60AB273}"/>
              </a:ext>
            </a:extLst>
          </xdr:cNvPr>
          <xdr:cNvSpPr txBox="1"/>
        </xdr:nvSpPr>
        <xdr:spPr>
          <a:xfrm>
            <a:off x="2423160" y="1560830"/>
            <a:ext cx="1524000" cy="33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tx2">
                    <a:lumMod val="60000"/>
                    <a:lumOff val="40000"/>
                  </a:schemeClr>
                </a:solidFill>
              </a:rPr>
              <a:t>Top Performing Store</a:t>
            </a:r>
            <a:endParaRPr lang="en-US" sz="1100" b="0">
              <a:solidFill>
                <a:schemeClr val="tx2">
                  <a:lumMod val="60000"/>
                  <a:lumOff val="40000"/>
                </a:schemeClr>
              </a:solidFill>
              <a:latin typeface="Segoe UI" panose="020B0502040204020203" pitchFamily="34" charset="0"/>
              <a:cs typeface="Segoe UI" panose="020B0502040204020203" pitchFamily="34" charset="0"/>
            </a:endParaRPr>
          </a:p>
        </xdr:txBody>
      </xdr:sp>
      <xdr:sp macro="" textlink="Pivot_Analysis!G6">
        <xdr:nvSpPr>
          <xdr:cNvPr id="45" name="TextBoxHighestPerformingStore">
            <a:extLst>
              <a:ext uri="{FF2B5EF4-FFF2-40B4-BE49-F238E27FC236}">
                <a16:creationId xmlns:a16="http://schemas.microsoft.com/office/drawing/2014/main" id="{3B7476CA-0DED-74E0-B97A-EB8FF11BF74C}"/>
              </a:ext>
            </a:extLst>
          </xdr:cNvPr>
          <xdr:cNvSpPr txBox="1"/>
        </xdr:nvSpPr>
        <xdr:spPr>
          <a:xfrm>
            <a:off x="2423160" y="1905000"/>
            <a:ext cx="1869440" cy="646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E5597CE-BD0F-4C97-9245-0BF35FEB3F6E}" type="TxLink">
              <a:rPr lang="en-US" sz="2400" b="1" i="0" u="none" strike="noStrike">
                <a:solidFill>
                  <a:schemeClr val="bg1"/>
                </a:solidFill>
                <a:latin typeface="Impact" panose="020B0806030902050204" pitchFamily="34" charset="0"/>
                <a:cs typeface="Calibri"/>
              </a:rPr>
              <a:pPr algn="l"/>
              <a:t>2</a:t>
            </a:fld>
            <a:endParaRPr lang="en-US" sz="8800" b="1">
              <a:solidFill>
                <a:schemeClr val="bg1"/>
              </a:solidFill>
              <a:latin typeface="Impact" panose="020B0806030902050204" pitchFamily="34" charset="0"/>
            </a:endParaRPr>
          </a:p>
        </xdr:txBody>
      </xdr:sp>
      <xdr:sp macro="" textlink="">
        <xdr:nvSpPr>
          <xdr:cNvPr id="46" name="LabelRemark_2">
            <a:extLst>
              <a:ext uri="{FF2B5EF4-FFF2-40B4-BE49-F238E27FC236}">
                <a16:creationId xmlns:a16="http://schemas.microsoft.com/office/drawing/2014/main" id="{0ACBFD02-90E3-C112-33B3-0EA5F6408FB0}"/>
              </a:ext>
            </a:extLst>
          </xdr:cNvPr>
          <xdr:cNvSpPr txBox="1"/>
        </xdr:nvSpPr>
        <xdr:spPr>
          <a:xfrm>
            <a:off x="2423160" y="2338070"/>
            <a:ext cx="2611120" cy="242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B050"/>
                </a:solidFill>
                <a:latin typeface="Segoe UI" panose="020B0502040204020203" pitchFamily="34" charset="0"/>
                <a:cs typeface="Segoe UI" panose="020B0502040204020203" pitchFamily="34" charset="0"/>
              </a:rPr>
              <a:t>Highest Revenue</a:t>
            </a:r>
            <a:endParaRPr lang="en-US" sz="1100" b="1">
              <a:solidFill>
                <a:srgbClr val="00B050"/>
              </a:solidFill>
              <a:latin typeface="Segoe UI" panose="020B0502040204020203" pitchFamily="34" charset="0"/>
              <a:cs typeface="Segoe UI" panose="020B0502040204020203" pitchFamily="34" charset="0"/>
            </a:endParaRPr>
          </a:p>
        </xdr:txBody>
      </xdr:sp>
    </xdr:grpSp>
    <xdr:clientData/>
  </xdr:twoCellAnchor>
  <xdr:twoCellAnchor>
    <xdr:from>
      <xdr:col>1</xdr:col>
      <xdr:colOff>53340</xdr:colOff>
      <xdr:row>17</xdr:row>
      <xdr:rowOff>7620</xdr:rowOff>
    </xdr:from>
    <xdr:to>
      <xdr:col>5</xdr:col>
      <xdr:colOff>327660</xdr:colOff>
      <xdr:row>31</xdr:row>
      <xdr:rowOff>2540</xdr:rowOff>
    </xdr:to>
    <xdr:graphicFrame macro="">
      <xdr:nvGraphicFramePr>
        <xdr:cNvPr id="73" name="Chart 72">
          <a:extLst>
            <a:ext uri="{FF2B5EF4-FFF2-40B4-BE49-F238E27FC236}">
              <a16:creationId xmlns:a16="http://schemas.microsoft.com/office/drawing/2014/main" id="{CE3F325C-D366-4E61-9CBE-10EAB8CA2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312421</xdr:colOff>
      <xdr:row>17</xdr:row>
      <xdr:rowOff>7620</xdr:rowOff>
    </xdr:from>
    <xdr:to>
      <xdr:col>10</xdr:col>
      <xdr:colOff>542291</xdr:colOff>
      <xdr:row>31</xdr:row>
      <xdr:rowOff>12699</xdr:rowOff>
    </xdr:to>
    <xdr:graphicFrame macro="">
      <xdr:nvGraphicFramePr>
        <xdr:cNvPr id="74" name="Chart 73">
          <a:extLst>
            <a:ext uri="{FF2B5EF4-FFF2-40B4-BE49-F238E27FC236}">
              <a16:creationId xmlns:a16="http://schemas.microsoft.com/office/drawing/2014/main" id="{F17D955B-103D-4C67-94FB-7A3C361FB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32</xdr:row>
      <xdr:rowOff>101601</xdr:rowOff>
    </xdr:from>
    <xdr:to>
      <xdr:col>17</xdr:col>
      <xdr:colOff>0</xdr:colOff>
      <xdr:row>54</xdr:row>
      <xdr:rowOff>24130</xdr:rowOff>
    </xdr:to>
    <xdr:graphicFrame macro="">
      <xdr:nvGraphicFramePr>
        <xdr:cNvPr id="75" name="Chart 74">
          <a:extLst>
            <a:ext uri="{FF2B5EF4-FFF2-40B4-BE49-F238E27FC236}">
              <a16:creationId xmlns:a16="http://schemas.microsoft.com/office/drawing/2014/main" id="{8C831099-9B58-43A7-8568-93C100636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279400</xdr:colOff>
      <xdr:row>17</xdr:row>
      <xdr:rowOff>7620</xdr:rowOff>
    </xdr:from>
    <xdr:to>
      <xdr:col>17</xdr:col>
      <xdr:colOff>96520</xdr:colOff>
      <xdr:row>30</xdr:row>
      <xdr:rowOff>142240</xdr:rowOff>
    </xdr:to>
    <xdr:graphicFrame macro="">
      <xdr:nvGraphicFramePr>
        <xdr:cNvPr id="77" name="Chart 76">
          <a:extLst>
            <a:ext uri="{FF2B5EF4-FFF2-40B4-BE49-F238E27FC236}">
              <a16:creationId xmlns:a16="http://schemas.microsoft.com/office/drawing/2014/main" id="{BA1A5F5F-AD90-4E1F-8E5A-7CF85268E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196088</xdr:colOff>
      <xdr:row>32</xdr:row>
      <xdr:rowOff>133350</xdr:rowOff>
    </xdr:from>
    <xdr:to>
      <xdr:col>16</xdr:col>
      <xdr:colOff>516128</xdr:colOff>
      <xdr:row>34</xdr:row>
      <xdr:rowOff>139700</xdr:rowOff>
    </xdr:to>
    <mc:AlternateContent xmlns:mc="http://schemas.openxmlformats.org/markup-compatibility/2006" xmlns:a14="http://schemas.microsoft.com/office/drawing/2010/main">
      <mc:Choice Requires="a14">
        <xdr:graphicFrame macro="">
          <xdr:nvGraphicFramePr>
            <xdr:cNvPr id="2" name="Years (Date) 2">
              <a:extLst>
                <a:ext uri="{FF2B5EF4-FFF2-40B4-BE49-F238E27FC236}">
                  <a16:creationId xmlns:a16="http://schemas.microsoft.com/office/drawing/2014/main" id="{FACA64AC-6716-4C80-A229-3D078E295E03}"/>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mlns="">
        <xdr:sp macro="" textlink="">
          <xdr:nvSpPr>
            <xdr:cNvPr id="0" name=""/>
            <xdr:cNvSpPr>
              <a:spLocks noTextEdit="1"/>
            </xdr:cNvSpPr>
          </xdr:nvSpPr>
          <xdr:spPr>
            <a:xfrm>
              <a:off x="8120888" y="6026150"/>
              <a:ext cx="2148840" cy="37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0.11163</cdr:x>
      <cdr:y>0.86822</cdr:y>
    </cdr:from>
    <cdr:to>
      <cdr:x>0.3424</cdr:x>
      <cdr:y>0.9637</cdr:y>
    </cdr:to>
    <cdr:sp macro="" textlink="">
      <cdr:nvSpPr>
        <cdr:cNvPr id="2" name="TextBox 1">
          <a:extLst xmlns:a="http://schemas.openxmlformats.org/drawingml/2006/main">
            <a:ext uri="{FF2B5EF4-FFF2-40B4-BE49-F238E27FC236}">
              <a16:creationId xmlns:a16="http://schemas.microsoft.com/office/drawing/2014/main" id="{1A1C13A2-929A-246B-3F0B-4EB2B1148A8C}"/>
            </a:ext>
          </a:extLst>
        </cdr:cNvPr>
        <cdr:cNvSpPr txBox="1"/>
      </cdr:nvSpPr>
      <cdr:spPr>
        <a:xfrm xmlns:a="http://schemas.openxmlformats.org/drawingml/2006/main">
          <a:off x="302260" y="2217420"/>
          <a:ext cx="624840"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chemeClr val="bg2">
                  <a:lumMod val="90000"/>
                </a:schemeClr>
              </a:solidFill>
            </a:rPr>
            <a:t>Store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uheed Hussain" refreshedDate="46153.13322314815" createdVersion="8" refreshedVersion="8" minRefreshableVersion="3" recordCount="383" xr:uid="{FFB216C9-6E6C-4AAC-AE75-1A81208FA69E}">
  <cacheSource type="worksheet">
    <worksheetSource name="Cleaned_Data"/>
  </cacheSource>
  <cacheFields count="9">
    <cacheField name="Store" numFmtId="0">
      <sharedItems containsSemiMixedTypes="0" containsString="0" containsNumber="1" containsInteger="1" minValue="1" maxValue="3" count="3">
        <n v="1"/>
        <n v="2"/>
        <n v="3"/>
      </sharedItems>
    </cacheField>
    <cacheField name="Date" numFmtId="14">
      <sharedItems containsSemiMixedTypes="0" containsNonDate="0" containsDate="1" containsString="0" minDate="2010-01-10T00:00:00" maxDate="2012-12-11T00:00:00"/>
    </cacheField>
    <cacheField name="Weekly_Sales" numFmtId="0">
      <sharedItems containsSemiMixedTypes="0" containsString="0" containsNumber="1" minValue="18000" maxValue="3436007.68"/>
    </cacheField>
    <cacheField name="Holiday_Flag" numFmtId="0">
      <sharedItems containsSemiMixedTypes="0" containsString="0" containsNumber="1" containsInteger="1" minValue="0" maxValue="1"/>
    </cacheField>
    <cacheField name="Temperature" numFmtId="0">
      <sharedItems containsSemiMixedTypes="0" containsString="0" containsNumber="1" minValue="-89.53" maxValue="93.34"/>
    </cacheField>
    <cacheField name="Fuel_Price" numFmtId="0">
      <sharedItems containsSemiMixedTypes="0" containsString="0" containsNumber="1" minValue="2.5139999999999998" maxValue="3.907" count="138">
        <n v="2.5720000000000001"/>
        <n v="2.548"/>
        <n v="2.5139999999999998"/>
        <n v="2.5609999999999999"/>
        <n v="2.625"/>
        <n v="2.6669999999999998"/>
        <n v="2.72"/>
        <n v="2.7320000000000002"/>
        <n v="2.7189999999999999"/>
        <n v="2.77"/>
        <n v="2.8079999999999998"/>
        <n v="2.7949999999999999"/>
        <n v="2.78"/>
        <n v="2.835"/>
        <n v="2.8540000000000001"/>
        <n v="2.8260000000000001"/>
        <n v="2.7589999999999999"/>
        <n v="2.7050000000000001"/>
        <n v="2.6680000000000001"/>
        <n v="2.637"/>
        <n v="2.653"/>
        <n v="2.669"/>
        <n v="2.6080000000000001"/>
        <n v="2.6269999999999998"/>
        <n v="2.6920000000000002"/>
        <n v="2.6640000000000001"/>
        <n v="2.6190000000000002"/>
        <n v="2.6240000000000001"/>
        <n v="2.633"/>
        <n v="2.7250000000000001"/>
        <n v="2.7280000000000002"/>
        <n v="2.7709999999999999"/>
        <n v="2.7349999999999999"/>
        <n v="2.7080000000000002"/>
        <n v="2.843"/>
        <n v="2.8690000000000002"/>
        <n v="2.8860000000000001"/>
        <n v="2.9430000000000001"/>
        <n v="2.976"/>
        <n v="3.016"/>
        <n v="3.01"/>
        <n v="3.0219999999999998"/>
        <n v="3.0449999999999999"/>
        <n v="3.0649999999999999"/>
        <n v="3.2879999999999998"/>
        <n v="3.488"/>
        <n v="3.4729999999999999"/>
        <n v="3.6219999999999999"/>
        <n v="3.7429999999999999"/>
        <n v="3.8069999999999999"/>
        <n v="3.81"/>
        <n v="3.9060000000000001"/>
        <n v="3.899"/>
        <n v="3.907"/>
        <n v="3.786"/>
        <n v="3.6989999999999998"/>
        <n v="3.6480000000000001"/>
        <n v="3.637"/>
        <n v="3.5939999999999999"/>
        <n v="3.524"/>
        <n v="3.48"/>
        <n v="3.5750000000000002"/>
        <n v="3.6509999999999998"/>
        <n v="3.6819999999999999"/>
        <n v="3.6840000000000002"/>
        <n v="3.6379999999999999"/>
        <n v="3.5539999999999998"/>
        <n v="3.5230000000000001"/>
        <n v="3.5329999999999999"/>
        <n v="3.5459999999999998"/>
        <n v="3.5259999999999998"/>
        <n v="3.4670000000000001"/>
        <n v="3.355"/>
        <n v="3.2850000000000001"/>
        <n v="3.274"/>
        <n v="3.3530000000000002"/>
        <n v="3.3319999999999999"/>
        <n v="3.2970000000000002"/>
        <n v="3.2360000000000002"/>
        <n v="3.1720000000000002"/>
        <n v="3.1579999999999999"/>
        <n v="3.1589999999999998"/>
        <n v="3.1120000000000001"/>
        <n v="3.129"/>
        <n v="3.157"/>
        <n v="3.2610000000000001"/>
        <n v="3.2679999999999998"/>
        <n v="3.29"/>
        <n v="3.36"/>
        <n v="3.4089999999999998"/>
        <n v="3.51"/>
        <n v="3.5550000000000002"/>
        <n v="3.63"/>
        <n v="3.669"/>
        <n v="3.734"/>
        <n v="3.7869999999999999"/>
        <n v="3.8450000000000002"/>
        <n v="3.891"/>
        <n v="3.8769999999999998"/>
        <n v="3.8140000000000001"/>
        <n v="3.7490000000000001"/>
        <n v="3.6880000000000002"/>
        <n v="3.5609999999999999"/>
        <n v="3.5009999999999999"/>
        <n v="3.452"/>
        <n v="3.3929999999999998"/>
        <n v="3.3460000000000001"/>
        <n v="3.286"/>
        <n v="3.2269999999999999"/>
        <n v="3.2559999999999998"/>
        <n v="3.3109999999999999"/>
        <n v="3.407"/>
        <n v="3.4169999999999998"/>
        <n v="3.4940000000000002"/>
        <n v="3.5710000000000002"/>
        <n v="3.62"/>
        <n v="3.73"/>
        <n v="3.7170000000000001"/>
        <n v="3.7210000000000001"/>
        <n v="3.6659999999999999"/>
        <n v="3.617"/>
        <n v="3.601"/>
        <n v="3.5059999999999998"/>
        <n v="2.6419999999999999"/>
        <n v="2.64"/>
        <n v="2.577"/>
        <n v="2.5819999999999999"/>
        <n v="2.6030000000000002"/>
        <n v="2.7160000000000002"/>
        <n v="2.9830000000000001"/>
        <n v="2.9889999999999999"/>
        <n v="3.4590000000000001"/>
        <n v="3.3719999999999999"/>
        <n v="3.3079999999999998"/>
        <n v="3"/>
        <n v="2.6230000000000002"/>
        <n v="2.5649999999999999"/>
        <n v="2.6890000000000001"/>
      </sharedItems>
    </cacheField>
    <cacheField name="CPI" numFmtId="0">
      <sharedItems containsSemiMixedTypes="0" containsString="0" containsNumber="1" minValue="210.00110179999999" maxValue="224.93934049999999"/>
    </cacheField>
    <cacheField name="Unemployment" numFmtId="0">
      <sharedItems containsSemiMixedTypes="0" containsString="0" containsNumber="1" minValue="6.17" maxValue="8.3239999999999998"/>
    </cacheField>
    <cacheField name="Holiday_Type" numFmtId="0">
      <sharedItems count="2">
        <s v="Non-Holiday"/>
        <s v="Holida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uheed Hussain" refreshedDate="46153.139981018518" createdVersion="8" refreshedVersion="8" minRefreshableVersion="3" recordCount="383" xr:uid="{2DF9164F-78F4-4E0F-82B0-D166116781F2}">
  <cacheSource type="worksheet">
    <worksheetSource name="Cleaned_Data"/>
  </cacheSource>
  <cacheFields count="11">
    <cacheField name="Store" numFmtId="0">
      <sharedItems containsSemiMixedTypes="0" containsString="0" containsNumber="1" containsInteger="1" minValue="1" maxValue="3" count="3">
        <n v="1"/>
        <n v="2"/>
        <n v="3"/>
      </sharedItems>
    </cacheField>
    <cacheField name="Date" numFmtId="14">
      <sharedItems containsSemiMixedTypes="0" containsNonDate="0" containsDate="1" containsString="0" minDate="2010-01-10T00:00:00" maxDate="2012-12-11T00:00:00" count="143">
        <d v="2010-05-02T00:00:00"/>
        <d v="2010-12-02T00:00:00"/>
        <d v="2010-02-19T00:00:00"/>
        <d v="2010-02-26T00:00:00"/>
        <d v="2010-05-03T00:00:00"/>
        <d v="2010-12-03T00:00:00"/>
        <d v="2010-03-19T00:00:00"/>
        <d v="2010-03-26T00:00:00"/>
        <d v="2010-02-04T00:00:00"/>
        <d v="2010-09-04T00:00:00"/>
        <d v="2010-04-16T00:00:00"/>
        <d v="2010-04-23T00:00:00"/>
        <d v="2010-04-30T00:00:00"/>
        <d v="2010-07-05T00:00:00"/>
        <d v="2010-05-14T00:00:00"/>
        <d v="2010-05-21T00:00:00"/>
        <d v="2010-05-28T00:00:00"/>
        <d v="2010-04-06T00:00:00"/>
        <d v="2010-11-06T00:00:00"/>
        <d v="2010-06-18T00:00:00"/>
        <d v="2010-06-25T00:00:00"/>
        <d v="2010-02-07T00:00:00"/>
        <d v="2010-07-23T00:00:00"/>
        <d v="2010-06-08T00:00:00"/>
        <d v="2010-08-13T00:00:00"/>
        <d v="2010-08-20T00:00:00"/>
        <d v="2010-08-27T00:00:00"/>
        <d v="2010-09-24T00:00:00"/>
        <d v="2010-08-10T00:00:00"/>
        <d v="2010-10-15T00:00:00"/>
        <d v="2010-10-22T00:00:00"/>
        <d v="2010-12-11T00:00:00"/>
        <d v="2010-11-19T00:00:00"/>
        <d v="2010-11-26T00:00:00"/>
        <d v="2010-03-12T00:00:00"/>
        <d v="2010-10-12T00:00:00"/>
        <d v="2010-12-17T00:00:00"/>
        <d v="2010-12-24T00:00:00"/>
        <d v="2010-12-31T00:00:00"/>
        <d v="2011-07-01T00:00:00"/>
        <d v="2011-01-21T00:00:00"/>
        <d v="2011-01-28T00:00:00"/>
        <d v="2011-11-02T00:00:00"/>
        <d v="2011-02-18T00:00:00"/>
        <d v="2011-02-25T00:00:00"/>
        <d v="2011-04-03T00:00:00"/>
        <d v="2011-03-18T00:00:00"/>
        <d v="2011-03-25T00:00:00"/>
        <d v="2011-08-04T00:00:00"/>
        <d v="2011-04-15T00:00:00"/>
        <d v="2011-04-22T00:00:00"/>
        <d v="2011-04-29T00:00:00"/>
        <d v="2011-06-05T00:00:00"/>
        <d v="2011-05-13T00:00:00"/>
        <d v="2011-05-20T00:00:00"/>
        <d v="2011-05-27T00:00:00"/>
        <d v="2011-03-06T00:00:00"/>
        <d v="2011-10-06T00:00:00"/>
        <d v="2011-06-17T00:00:00"/>
        <d v="2011-06-24T00:00:00"/>
        <d v="2011-01-07T00:00:00"/>
        <d v="2011-08-07T00:00:00"/>
        <d v="2011-07-15T00:00:00"/>
        <d v="2011-07-22T00:00:00"/>
        <d v="2011-07-29T00:00:00"/>
        <d v="2011-05-08T00:00:00"/>
        <d v="2011-12-08T00:00:00"/>
        <d v="2011-08-19T00:00:00"/>
        <d v="2011-08-26T00:00:00"/>
        <d v="2011-02-09T00:00:00"/>
        <d v="2011-09-09T00:00:00"/>
        <d v="2011-09-16T00:00:00"/>
        <d v="2011-09-23T00:00:00"/>
        <d v="2011-09-30T00:00:00"/>
        <d v="2011-07-10T00:00:00"/>
        <d v="2011-10-14T00:00:00"/>
        <d v="2011-10-21T00:00:00"/>
        <d v="2011-04-11T00:00:00"/>
        <d v="2011-11-11T00:00:00"/>
        <d v="2011-11-25T00:00:00"/>
        <d v="2011-02-12T00:00:00"/>
        <d v="2011-09-12T00:00:00"/>
        <d v="2011-12-16T00:00:00"/>
        <d v="2011-12-23T00:00:00"/>
        <d v="2011-12-30T00:00:00"/>
        <d v="2012-06-01T00:00:00"/>
        <d v="2012-01-13T00:00:00"/>
        <d v="2012-01-20T00:00:00"/>
        <d v="2012-01-27T00:00:00"/>
        <d v="2012-03-02T00:00:00"/>
        <d v="2012-10-02T00:00:00"/>
        <d v="2012-02-17T00:00:00"/>
        <d v="2012-02-24T00:00:00"/>
        <d v="2012-02-03T00:00:00"/>
        <d v="2012-09-03T00:00:00"/>
        <d v="2012-03-16T00:00:00"/>
        <d v="2012-03-23T00:00:00"/>
        <d v="2012-03-30T00:00:00"/>
        <d v="2012-06-04T00:00:00"/>
        <d v="2012-04-13T00:00:00"/>
        <d v="2012-04-20T00:00:00"/>
        <d v="2012-04-27T00:00:00"/>
        <d v="2012-04-05T00:00:00"/>
        <d v="2012-11-05T00:00:00"/>
        <d v="2012-05-25T00:00:00"/>
        <d v="2012-01-06T00:00:00"/>
        <d v="2012-08-06T00:00:00"/>
        <d v="2012-06-15T00:00:00"/>
        <d v="2012-06-22T00:00:00"/>
        <d v="2012-06-29T00:00:00"/>
        <d v="2012-06-07T00:00:00"/>
        <d v="2012-07-13T00:00:00"/>
        <d v="2012-07-20T00:00:00"/>
        <d v="2012-07-27T00:00:00"/>
        <d v="2012-03-08T00:00:00"/>
        <d v="2012-10-08T00:00:00"/>
        <d v="2012-08-17T00:00:00"/>
        <d v="2012-08-24T00:00:00"/>
        <d v="2012-08-31T00:00:00"/>
        <d v="2012-07-09T00:00:00"/>
        <d v="2012-09-14T00:00:00"/>
        <d v="2012-09-21T00:00:00"/>
        <d v="2012-09-28T00:00:00"/>
        <d v="2012-05-10T00:00:00"/>
        <d v="2012-12-10T00:00:00"/>
        <d v="2012-10-19T00:00:00"/>
        <d v="2012-10-26T00:00:00"/>
        <d v="2010-09-07T00:00:00"/>
        <d v="2010-07-30T00:00:00"/>
        <d v="2010-03-09T00:00:00"/>
        <d v="2010-09-17T00:00:00"/>
        <d v="2010-01-10T00:00:00"/>
        <d v="2010-10-29T00:00:00"/>
        <d v="2011-01-14T00:00:00"/>
        <d v="2011-04-02T00:00:00"/>
        <d v="2011-11-03T00:00:00"/>
        <d v="2011-01-04T00:00:00"/>
        <d v="2011-10-28T00:00:00"/>
        <d v="2011-11-18T00:00:00"/>
        <d v="2012-05-18T00:00:00"/>
        <d v="2010-07-16T00:00:00"/>
        <d v="2010-10-09T00:00:00"/>
        <d v="2010-05-11T00:00:00"/>
      </sharedItems>
      <fieldGroup par="10"/>
    </cacheField>
    <cacheField name="Weekly_Sales" numFmtId="0">
      <sharedItems containsSemiMixedTypes="0" containsString="0" containsNumber="1" minValue="18000" maxValue="3436007.68"/>
    </cacheField>
    <cacheField name="Holiday_Flag" numFmtId="0">
      <sharedItems containsSemiMixedTypes="0" containsString="0" containsNumber="1" containsInteger="1" minValue="0" maxValue="1"/>
    </cacheField>
    <cacheField name="Temperature" numFmtId="0">
      <sharedItems containsSemiMixedTypes="0" containsString="0" containsNumber="1" minValue="-89.53" maxValue="93.34"/>
    </cacheField>
    <cacheField name="Fuel_Price" numFmtId="0">
      <sharedItems containsSemiMixedTypes="0" containsString="0" containsNumber="1" minValue="2.5139999999999998" maxValue="3.907" count="138">
        <n v="2.5720000000000001"/>
        <n v="2.548"/>
        <n v="2.5139999999999998"/>
        <n v="2.5609999999999999"/>
        <n v="2.625"/>
        <n v="2.6669999999999998"/>
        <n v="2.72"/>
        <n v="2.7320000000000002"/>
        <n v="2.7189999999999999"/>
        <n v="2.77"/>
        <n v="2.8079999999999998"/>
        <n v="2.7949999999999999"/>
        <n v="2.78"/>
        <n v="2.835"/>
        <n v="2.8540000000000001"/>
        <n v="2.8260000000000001"/>
        <n v="2.7589999999999999"/>
        <n v="2.7050000000000001"/>
        <n v="2.6680000000000001"/>
        <n v="2.637"/>
        <n v="2.653"/>
        <n v="2.669"/>
        <n v="2.6080000000000001"/>
        <n v="2.6269999999999998"/>
        <n v="2.6920000000000002"/>
        <n v="2.6640000000000001"/>
        <n v="2.6190000000000002"/>
        <n v="2.6240000000000001"/>
        <n v="2.633"/>
        <n v="2.7250000000000001"/>
        <n v="2.7280000000000002"/>
        <n v="2.7709999999999999"/>
        <n v="2.7349999999999999"/>
        <n v="2.7080000000000002"/>
        <n v="2.843"/>
        <n v="2.8690000000000002"/>
        <n v="2.8860000000000001"/>
        <n v="2.9430000000000001"/>
        <n v="2.976"/>
        <n v="3.016"/>
        <n v="3.01"/>
        <n v="3.0219999999999998"/>
        <n v="3.0449999999999999"/>
        <n v="3.0649999999999999"/>
        <n v="3.2879999999999998"/>
        <n v="3.488"/>
        <n v="3.4729999999999999"/>
        <n v="3.6219999999999999"/>
        <n v="3.7429999999999999"/>
        <n v="3.8069999999999999"/>
        <n v="3.81"/>
        <n v="3.9060000000000001"/>
        <n v="3.899"/>
        <n v="3.907"/>
        <n v="3.786"/>
        <n v="3.6989999999999998"/>
        <n v="3.6480000000000001"/>
        <n v="3.637"/>
        <n v="3.5939999999999999"/>
        <n v="3.524"/>
        <n v="3.48"/>
        <n v="3.5750000000000002"/>
        <n v="3.6509999999999998"/>
        <n v="3.6819999999999999"/>
        <n v="3.6840000000000002"/>
        <n v="3.6379999999999999"/>
        <n v="3.5539999999999998"/>
        <n v="3.5230000000000001"/>
        <n v="3.5329999999999999"/>
        <n v="3.5459999999999998"/>
        <n v="3.5259999999999998"/>
        <n v="3.4670000000000001"/>
        <n v="3.355"/>
        <n v="3.2850000000000001"/>
        <n v="3.274"/>
        <n v="3.3530000000000002"/>
        <n v="3.3319999999999999"/>
        <n v="3.2970000000000002"/>
        <n v="3.2360000000000002"/>
        <n v="3.1720000000000002"/>
        <n v="3.1579999999999999"/>
        <n v="3.1589999999999998"/>
        <n v="3.1120000000000001"/>
        <n v="3.129"/>
        <n v="3.157"/>
        <n v="3.2610000000000001"/>
        <n v="3.2679999999999998"/>
        <n v="3.29"/>
        <n v="3.36"/>
        <n v="3.4089999999999998"/>
        <n v="3.51"/>
        <n v="3.5550000000000002"/>
        <n v="3.63"/>
        <n v="3.669"/>
        <n v="3.734"/>
        <n v="3.7869999999999999"/>
        <n v="3.8450000000000002"/>
        <n v="3.891"/>
        <n v="3.8769999999999998"/>
        <n v="3.8140000000000001"/>
        <n v="3.7490000000000001"/>
        <n v="3.6880000000000002"/>
        <n v="3.5609999999999999"/>
        <n v="3.5009999999999999"/>
        <n v="3.452"/>
        <n v="3.3929999999999998"/>
        <n v="3.3460000000000001"/>
        <n v="3.286"/>
        <n v="3.2269999999999999"/>
        <n v="3.2559999999999998"/>
        <n v="3.3109999999999999"/>
        <n v="3.407"/>
        <n v="3.4169999999999998"/>
        <n v="3.4940000000000002"/>
        <n v="3.5710000000000002"/>
        <n v="3.62"/>
        <n v="3.73"/>
        <n v="3.7170000000000001"/>
        <n v="3.7210000000000001"/>
        <n v="3.6659999999999999"/>
        <n v="3.617"/>
        <n v="3.601"/>
        <n v="3.5059999999999998"/>
        <n v="2.6419999999999999"/>
        <n v="2.64"/>
        <n v="2.577"/>
        <n v="2.5819999999999999"/>
        <n v="2.6030000000000002"/>
        <n v="2.7160000000000002"/>
        <n v="2.9830000000000001"/>
        <n v="2.9889999999999999"/>
        <n v="3.4590000000000001"/>
        <n v="3.3719999999999999"/>
        <n v="3.3079999999999998"/>
        <n v="3"/>
        <n v="2.6230000000000002"/>
        <n v="2.5649999999999999"/>
        <n v="2.6890000000000001"/>
      </sharedItems>
      <fieldGroup base="5">
        <rangePr startNum="2.5139999999999998" endNum="3.907" groupInterval="0.25"/>
        <groupItems count="8">
          <s v="&lt;2.514"/>
          <s v="2.514-2.764"/>
          <s v="2.764-3.014"/>
          <s v="3.014-3.264"/>
          <s v="3.264-3.514"/>
          <s v="3.514-3.764"/>
          <s v="3.764-4.014"/>
          <s v="&gt;4.014"/>
        </groupItems>
      </fieldGroup>
    </cacheField>
    <cacheField name="CPI" numFmtId="0">
      <sharedItems containsSemiMixedTypes="0" containsString="0" containsNumber="1" minValue="210.00110179999999" maxValue="224.93934049999999"/>
    </cacheField>
    <cacheField name="Unemployment" numFmtId="0">
      <sharedItems containsSemiMixedTypes="0" containsString="0" containsNumber="1" minValue="6.17" maxValue="8.3239999999999998"/>
    </cacheField>
    <cacheField name="Holiday_Type" numFmtId="0">
      <sharedItems count="2">
        <s v="Non-Holiday"/>
        <s v="Holiday"/>
      </sharedItems>
    </cacheField>
    <cacheField name="Months (Date)" numFmtId="0" databaseField="0">
      <fieldGroup base="1">
        <rangePr groupBy="months" startDate="2010-01-10T00:00:00" endDate="2012-12-11T00:00:00"/>
        <groupItems count="14">
          <s v="&lt;1/10/2010"/>
          <s v="Jan"/>
          <s v="Feb"/>
          <s v="Mar"/>
          <s v="Apr"/>
          <s v="May"/>
          <s v="Jun"/>
          <s v="Jul"/>
          <s v="Aug"/>
          <s v="Sep"/>
          <s v="Oct"/>
          <s v="Nov"/>
          <s v="Dec"/>
          <s v="&gt;12/11/2012"/>
        </groupItems>
      </fieldGroup>
    </cacheField>
    <cacheField name="Years (Date)" numFmtId="0" databaseField="0">
      <fieldGroup base="1">
        <rangePr groupBy="years" startDate="2010-01-10T00:00:00" endDate="2012-12-11T00:00:00"/>
        <groupItems count="5">
          <s v="&lt;1/10/2010"/>
          <s v="2010"/>
          <s v="2011"/>
          <s v="2012"/>
          <s v="&gt;12/11/2012"/>
        </groupItems>
      </fieldGroup>
    </cacheField>
  </cacheFields>
  <extLst>
    <ext xmlns:x14="http://schemas.microsoft.com/office/spreadsheetml/2009/9/main" uri="{725AE2AE-9491-48be-B2B4-4EB974FC3084}">
      <x14:pivotCacheDefinition pivotCacheId="753001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
  <r>
    <x v="0"/>
    <d v="2010-05-02T00:00:00"/>
    <n v="1643690.9"/>
    <n v="0"/>
    <n v="42.31"/>
    <x v="0"/>
    <n v="211.0963582"/>
    <n v="8.1059999999999999"/>
    <x v="0"/>
  </r>
  <r>
    <x v="0"/>
    <d v="2010-12-02T00:00:00"/>
    <n v="1641957.44"/>
    <n v="1"/>
    <n v="38.51"/>
    <x v="1"/>
    <n v="211.2421698"/>
    <n v="8.1059999999999999"/>
    <x v="1"/>
  </r>
  <r>
    <x v="0"/>
    <d v="2010-02-19T00:00:00"/>
    <n v="1611968.17"/>
    <n v="0"/>
    <n v="39.93"/>
    <x v="2"/>
    <n v="211.2891429"/>
    <n v="8.1059999999999999"/>
    <x v="0"/>
  </r>
  <r>
    <x v="0"/>
    <d v="2010-02-26T00:00:00"/>
    <n v="1409727.59"/>
    <n v="0"/>
    <n v="46.63"/>
    <x v="3"/>
    <n v="211.31964289999999"/>
    <n v="8.1059999999999999"/>
    <x v="0"/>
  </r>
  <r>
    <x v="0"/>
    <d v="2010-05-03T00:00:00"/>
    <n v="1554806.68"/>
    <n v="0"/>
    <n v="46.5"/>
    <x v="4"/>
    <n v="211.35014290000001"/>
    <n v="8.1059999999999999"/>
    <x v="0"/>
  </r>
  <r>
    <x v="0"/>
    <d v="2010-12-03T00:00:00"/>
    <n v="1439541.59"/>
    <n v="0"/>
    <n v="57.79"/>
    <x v="5"/>
    <n v="211.3806429"/>
    <n v="8.1059999999999999"/>
    <x v="0"/>
  </r>
  <r>
    <x v="0"/>
    <d v="2010-03-19T00:00:00"/>
    <n v="1472515.79"/>
    <n v="0"/>
    <n v="54.58"/>
    <x v="6"/>
    <n v="211.21563499999999"/>
    <n v="8.1059999999999999"/>
    <x v="0"/>
  </r>
  <r>
    <x v="0"/>
    <d v="2010-03-26T00:00:00"/>
    <n v="1404429.92"/>
    <n v="0"/>
    <n v="51.45"/>
    <x v="7"/>
    <n v="211.01804240000001"/>
    <n v="8.1059999999999999"/>
    <x v="0"/>
  </r>
  <r>
    <x v="0"/>
    <d v="2010-02-04T00:00:00"/>
    <n v="1594968.28"/>
    <n v="0"/>
    <n v="62.27"/>
    <x v="8"/>
    <n v="210.8204499"/>
    <n v="7.8079999999999998"/>
    <x v="0"/>
  </r>
  <r>
    <x v="0"/>
    <d v="2010-09-04T00:00:00"/>
    <n v="1545418.53"/>
    <n v="0"/>
    <n v="65.86"/>
    <x v="9"/>
    <n v="210.62285739999999"/>
    <n v="7.8079999999999998"/>
    <x v="0"/>
  </r>
  <r>
    <x v="0"/>
    <d v="2010-04-16T00:00:00"/>
    <n v="1466058.28"/>
    <n v="0"/>
    <n v="66.319999999999993"/>
    <x v="10"/>
    <n v="210.48869999999999"/>
    <n v="7.8079999999999998"/>
    <x v="0"/>
  </r>
  <r>
    <x v="0"/>
    <d v="2010-04-23T00:00:00"/>
    <n v="1391256.12"/>
    <n v="0"/>
    <n v="64.84"/>
    <x v="11"/>
    <n v="210.43912280000001"/>
    <n v="7.8079999999999998"/>
    <x v="0"/>
  </r>
  <r>
    <x v="0"/>
    <d v="2010-04-30T00:00:00"/>
    <n v="1425100.71"/>
    <n v="0"/>
    <n v="67.41"/>
    <x v="12"/>
    <n v="210.38954559999999"/>
    <n v="7.8079999999999998"/>
    <x v="0"/>
  </r>
  <r>
    <x v="0"/>
    <d v="2010-07-05T00:00:00"/>
    <n v="1603955.12"/>
    <n v="0"/>
    <n v="72.55"/>
    <x v="13"/>
    <n v="210.3399684"/>
    <n v="7.8079999999999998"/>
    <x v="0"/>
  </r>
  <r>
    <x v="0"/>
    <d v="2010-05-14T00:00:00"/>
    <n v="1494251.5"/>
    <n v="0"/>
    <n v="74.78"/>
    <x v="14"/>
    <n v="210.33742609999999"/>
    <n v="7.8079999999999998"/>
    <x v="0"/>
  </r>
  <r>
    <x v="0"/>
    <d v="2010-05-21T00:00:00"/>
    <n v="1399662.07"/>
    <n v="0"/>
    <n v="76.44"/>
    <x v="15"/>
    <n v="210.61709339999999"/>
    <n v="7.8079999999999998"/>
    <x v="0"/>
  </r>
  <r>
    <x v="0"/>
    <d v="2010-05-28T00:00:00"/>
    <n v="1432069.95"/>
    <n v="0"/>
    <n v="80.44"/>
    <x v="16"/>
    <n v="210.89676059999999"/>
    <n v="7.8079999999999998"/>
    <x v="0"/>
  </r>
  <r>
    <x v="0"/>
    <d v="2010-04-06T00:00:00"/>
    <n v="1615524.71"/>
    <n v="0"/>
    <n v="80.69"/>
    <x v="17"/>
    <n v="211.1764278"/>
    <n v="7.8079999999999998"/>
    <x v="0"/>
  </r>
  <r>
    <x v="0"/>
    <d v="2010-11-06T00:00:00"/>
    <n v="1542561.09"/>
    <n v="0"/>
    <n v="80.430000000000007"/>
    <x v="18"/>
    <n v="211.4560951"/>
    <n v="7.8079999999999998"/>
    <x v="0"/>
  </r>
  <r>
    <x v="0"/>
    <d v="2010-06-18T00:00:00"/>
    <n v="1503284.06"/>
    <n v="0"/>
    <n v="84.11"/>
    <x v="19"/>
    <n v="211.45377189999999"/>
    <n v="7.8079999999999998"/>
    <x v="0"/>
  </r>
  <r>
    <x v="0"/>
    <d v="2010-06-25T00:00:00"/>
    <n v="1422711.6"/>
    <n v="0"/>
    <n v="84.34"/>
    <x v="20"/>
    <n v="211.33865259999999"/>
    <n v="7.8079999999999998"/>
    <x v="0"/>
  </r>
  <r>
    <x v="0"/>
    <d v="2010-02-07T00:00:00"/>
    <n v="1492418.14"/>
    <n v="0"/>
    <n v="80.91"/>
    <x v="21"/>
    <n v="211.22353330000001"/>
    <n v="7.7869999999999999"/>
    <x v="0"/>
  </r>
  <r>
    <x v="0"/>
    <d v="2010-07-23T00:00:00"/>
    <n v="1385065.2"/>
    <n v="0"/>
    <n v="83.36"/>
    <x v="22"/>
    <n v="211.2351443"/>
    <n v="7.7869999999999999"/>
    <x v="0"/>
  </r>
  <r>
    <x v="0"/>
    <d v="2010-06-08T00:00:00"/>
    <n v="1605491.78"/>
    <n v="0"/>
    <n v="87.16"/>
    <x v="23"/>
    <n v="211.50466209999999"/>
    <n v="7.7869999999999999"/>
    <x v="0"/>
  </r>
  <r>
    <x v="0"/>
    <d v="2010-08-13T00:00:00"/>
    <n v="1508237.76"/>
    <n v="0"/>
    <n v="87"/>
    <x v="24"/>
    <n v="211.63942109999999"/>
    <n v="7.7869999999999999"/>
    <x v="0"/>
  </r>
  <r>
    <x v="0"/>
    <d v="2010-08-20T00:00:00"/>
    <n v="1513080.49"/>
    <n v="0"/>
    <n v="86.65"/>
    <x v="25"/>
    <n v="211.60336330000001"/>
    <n v="7.7869999999999999"/>
    <x v="0"/>
  </r>
  <r>
    <x v="0"/>
    <d v="2010-08-27T00:00:00"/>
    <n v="1449142.92"/>
    <n v="0"/>
    <n v="85.22"/>
    <x v="26"/>
    <n v="211.5673056"/>
    <n v="7.7869999999999999"/>
    <x v="0"/>
  </r>
  <r>
    <x v="0"/>
    <d v="2010-09-24T00:00:00"/>
    <n v="1351791.03"/>
    <n v="0"/>
    <n v="80.94"/>
    <x v="27"/>
    <n v="211.5972246"/>
    <n v="7.7869999999999999"/>
    <x v="0"/>
  </r>
  <r>
    <x v="0"/>
    <d v="2010-08-10T00:00:00"/>
    <n v="1508239.93"/>
    <n v="0"/>
    <n v="63.93"/>
    <x v="28"/>
    <n v="211.74675439999999"/>
    <n v="7.8380000000000001"/>
    <x v="0"/>
  </r>
  <r>
    <x v="0"/>
    <d v="2010-10-15T00:00:00"/>
    <n v="1459409.1"/>
    <n v="0"/>
    <n v="67.180000000000007"/>
    <x v="6"/>
    <n v="211.81374360000001"/>
    <n v="7.8380000000000001"/>
    <x v="0"/>
  </r>
  <r>
    <x v="0"/>
    <d v="2010-10-22T00:00:00"/>
    <n v="1345454"/>
    <n v="0"/>
    <n v="69.86"/>
    <x v="29"/>
    <n v="211.8612937"/>
    <n v="7.8380000000000001"/>
    <x v="0"/>
  </r>
  <r>
    <x v="0"/>
    <d v="2010-12-11T00:00:00"/>
    <n v="1494479.49"/>
    <n v="0"/>
    <n v="59.61"/>
    <x v="30"/>
    <n v="212.00394399999999"/>
    <n v="7.8380000000000001"/>
    <x v="0"/>
  </r>
  <r>
    <x v="0"/>
    <d v="2010-11-19T00:00:00"/>
    <n v="1483784.18"/>
    <n v="0"/>
    <n v="51.41"/>
    <x v="31"/>
    <n v="211.8896737"/>
    <n v="7.8380000000000001"/>
    <x v="0"/>
  </r>
  <r>
    <x v="0"/>
    <d v="2010-11-26T00:00:00"/>
    <n v="1955624.11"/>
    <n v="1"/>
    <n v="64.52"/>
    <x v="32"/>
    <n v="211.74843329999999"/>
    <n v="7.8380000000000001"/>
    <x v="1"/>
  </r>
  <r>
    <x v="0"/>
    <d v="2010-03-12T00:00:00"/>
    <n v="1548033.78"/>
    <n v="0"/>
    <n v="49.27"/>
    <x v="33"/>
    <n v="211.607193"/>
    <n v="7.8380000000000001"/>
    <x v="0"/>
  </r>
  <r>
    <x v="0"/>
    <d v="2010-10-12T00:00:00"/>
    <n v="1682614.26"/>
    <n v="0"/>
    <n v="46.33"/>
    <x v="34"/>
    <n v="211.46595260000001"/>
    <n v="7.8380000000000001"/>
    <x v="0"/>
  </r>
  <r>
    <x v="0"/>
    <d v="2010-12-17T00:00:00"/>
    <n v="1891034.93"/>
    <n v="0"/>
    <n v="49.84"/>
    <x v="35"/>
    <n v="211.40531240000001"/>
    <n v="7.8380000000000001"/>
    <x v="0"/>
  </r>
  <r>
    <x v="0"/>
    <d v="2010-12-24T00:00:00"/>
    <n v="2387950.2000000002"/>
    <n v="0"/>
    <n v="52.33"/>
    <x v="36"/>
    <n v="211.40512219999999"/>
    <n v="7.8380000000000001"/>
    <x v="0"/>
  </r>
  <r>
    <x v="0"/>
    <d v="2010-12-31T00:00:00"/>
    <n v="1367320.01"/>
    <n v="1"/>
    <n v="48.43"/>
    <x v="37"/>
    <n v="211.4049321"/>
    <n v="7.8380000000000001"/>
    <x v="1"/>
  </r>
  <r>
    <x v="0"/>
    <d v="2011-07-01T00:00:00"/>
    <n v="1444732.28"/>
    <n v="0"/>
    <n v="48.27"/>
    <x v="38"/>
    <n v="211.4047419"/>
    <n v="7.742"/>
    <x v="0"/>
  </r>
  <r>
    <x v="0"/>
    <d v="2011-01-21T00:00:00"/>
    <n v="1327405.42"/>
    <n v="0"/>
    <n v="44.04"/>
    <x v="39"/>
    <n v="211.82723429999999"/>
    <n v="7.742"/>
    <x v="0"/>
  </r>
  <r>
    <x v="0"/>
    <d v="2011-01-28T00:00:00"/>
    <n v="1316899.31"/>
    <n v="0"/>
    <n v="43.83"/>
    <x v="40"/>
    <n v="212.19705769999999"/>
    <n v="7.742"/>
    <x v="0"/>
  </r>
  <r>
    <x v="0"/>
    <d v="2011-11-02T00:00:00"/>
    <n v="1649614.93"/>
    <n v="1"/>
    <n v="36.39"/>
    <x v="41"/>
    <n v="212.93670460000001"/>
    <n v="7.742"/>
    <x v="1"/>
  </r>
  <r>
    <x v="0"/>
    <d v="2011-02-18T00:00:00"/>
    <n v="1686842.78"/>
    <n v="0"/>
    <n v="57.36"/>
    <x v="42"/>
    <n v="213.24788530000001"/>
    <n v="7.742"/>
    <x v="0"/>
  </r>
  <r>
    <x v="0"/>
    <d v="2011-02-25T00:00:00"/>
    <n v="1456800.28"/>
    <n v="0"/>
    <n v="62.9"/>
    <x v="43"/>
    <n v="213.53560899999999"/>
    <n v="7.742"/>
    <x v="0"/>
  </r>
  <r>
    <x v="0"/>
    <d v="2011-04-03T00:00:00"/>
    <n v="1636263.41"/>
    <n v="0"/>
    <n v="59.58"/>
    <x v="44"/>
    <n v="213.82333270000001"/>
    <n v="7.742"/>
    <x v="0"/>
  </r>
  <r>
    <x v="0"/>
    <d v="2011-03-18T00:00:00"/>
    <n v="1576818.06"/>
    <n v="0"/>
    <n v="62.76"/>
    <x v="45"/>
    <n v="214.36271139999999"/>
    <n v="7.742"/>
    <x v="0"/>
  </r>
  <r>
    <x v="0"/>
    <d v="2011-03-25T00:00:00"/>
    <n v="1541102.38"/>
    <n v="0"/>
    <n v="69.97"/>
    <x v="46"/>
    <n v="214.59993890000001"/>
    <n v="7.742"/>
    <x v="0"/>
  </r>
  <r>
    <x v="0"/>
    <d v="2011-08-04T00:00:00"/>
    <n v="1614259.35"/>
    <n v="0"/>
    <n v="67.84"/>
    <x v="47"/>
    <n v="215.07439389999999"/>
    <n v="7.6820000000000004"/>
    <x v="0"/>
  </r>
  <r>
    <x v="0"/>
    <d v="2011-04-15T00:00:00"/>
    <n v="1559889"/>
    <n v="0"/>
    <n v="71.27"/>
    <x v="48"/>
    <n v="215.29185609999999"/>
    <n v="7.6820000000000004"/>
    <x v="0"/>
  </r>
  <r>
    <x v="0"/>
    <d v="2011-04-22T00:00:00"/>
    <n v="1564819.81"/>
    <n v="0"/>
    <n v="72.989999999999995"/>
    <x v="49"/>
    <n v="215.4599053"/>
    <n v="7.6820000000000004"/>
    <x v="0"/>
  </r>
  <r>
    <x v="0"/>
    <d v="2011-04-29T00:00:00"/>
    <n v="1455090.69"/>
    <n v="0"/>
    <n v="72.03"/>
    <x v="50"/>
    <n v="215.62795439999999"/>
    <n v="7.6820000000000004"/>
    <x v="0"/>
  </r>
  <r>
    <x v="0"/>
    <d v="2011-06-05T00:00:00"/>
    <n v="1629391.28"/>
    <n v="0"/>
    <n v="64.61"/>
    <x v="51"/>
    <n v="215.79600350000001"/>
    <n v="7.6820000000000004"/>
    <x v="0"/>
  </r>
  <r>
    <x v="0"/>
    <d v="2011-05-13T00:00:00"/>
    <n v="1604775.58"/>
    <n v="0"/>
    <n v="75.64"/>
    <x v="52"/>
    <n v="215.9640526"/>
    <n v="7.6820000000000004"/>
    <x v="0"/>
  </r>
  <r>
    <x v="0"/>
    <d v="2011-05-20T00:00:00"/>
    <n v="1428218.27"/>
    <n v="0"/>
    <n v="67.63"/>
    <x v="53"/>
    <n v="215.7339202"/>
    <n v="7.6820000000000004"/>
    <x v="0"/>
  </r>
  <r>
    <x v="0"/>
    <d v="2011-05-27T00:00:00"/>
    <n v="1466046.67"/>
    <n v="0"/>
    <n v="77.72"/>
    <x v="54"/>
    <n v="215.5037878"/>
    <n v="7.6820000000000004"/>
    <x v="0"/>
  </r>
  <r>
    <x v="0"/>
    <d v="2011-03-06T00:00:00"/>
    <n v="1635078.41"/>
    <n v="0"/>
    <n v="83"/>
    <x v="55"/>
    <n v="215.2736553"/>
    <n v="7.6820000000000004"/>
    <x v="0"/>
  </r>
  <r>
    <x v="0"/>
    <d v="2011-10-06T00:00:00"/>
    <n v="1588948.32"/>
    <n v="0"/>
    <n v="83.13"/>
    <x v="56"/>
    <n v="215.0435229"/>
    <n v="7.6820000000000004"/>
    <x v="0"/>
  </r>
  <r>
    <x v="0"/>
    <d v="2011-06-17T00:00:00"/>
    <n v="1532114.86"/>
    <n v="0"/>
    <n v="86.41"/>
    <x v="57"/>
    <n v="214.9980596"/>
    <n v="7.6820000000000004"/>
    <x v="0"/>
  </r>
  <r>
    <x v="0"/>
    <d v="2011-06-24T00:00:00"/>
    <n v="1438830.15"/>
    <n v="0"/>
    <n v="83.58"/>
    <x v="58"/>
    <n v="215.0910982"/>
    <n v="7.6820000000000004"/>
    <x v="0"/>
  </r>
  <r>
    <x v="0"/>
    <d v="2011-01-07T00:00:00"/>
    <n v="1488538.09"/>
    <n v="0"/>
    <n v="85.55"/>
    <x v="59"/>
    <n v="215.1841368"/>
    <n v="7.9619999999999997"/>
    <x v="0"/>
  </r>
  <r>
    <x v="0"/>
    <d v="2011-08-07T00:00:00"/>
    <n v="1534849.64"/>
    <n v="0"/>
    <n v="85.83"/>
    <x v="60"/>
    <n v="215.2771754"/>
    <n v="7.9619999999999997"/>
    <x v="0"/>
  </r>
  <r>
    <x v="0"/>
    <d v="2011-07-15T00:00:00"/>
    <n v="1455119.97"/>
    <n v="0"/>
    <n v="88.54"/>
    <x v="61"/>
    <n v="215.36110869999999"/>
    <n v="7.9619999999999997"/>
    <x v="0"/>
  </r>
  <r>
    <x v="0"/>
    <d v="2011-07-22T00:00:00"/>
    <n v="1396926.82"/>
    <n v="0"/>
    <n v="85.77"/>
    <x v="62"/>
    <n v="215.42227840000001"/>
    <n v="7.9619999999999997"/>
    <x v="0"/>
  </r>
  <r>
    <x v="0"/>
    <d v="2011-07-29T00:00:00"/>
    <n v="1352219.79"/>
    <n v="0"/>
    <n v="86.83"/>
    <x v="63"/>
    <n v="215.4834482"/>
    <n v="7.9619999999999997"/>
    <x v="0"/>
  </r>
  <r>
    <x v="0"/>
    <d v="2011-05-08T00:00:00"/>
    <n v="1624383.75"/>
    <n v="0"/>
    <n v="91.65"/>
    <x v="64"/>
    <n v="215.54461800000001"/>
    <n v="7.9619999999999997"/>
    <x v="0"/>
  </r>
  <r>
    <x v="0"/>
    <d v="2011-12-08T00:00:00"/>
    <n v="1525147.09"/>
    <n v="0"/>
    <n v="90.76"/>
    <x v="65"/>
    <n v="215.6057878"/>
    <n v="7.9619999999999997"/>
    <x v="0"/>
  </r>
  <r>
    <x v="0"/>
    <d v="2011-08-19T00:00:00"/>
    <n v="1530761.43"/>
    <n v="0"/>
    <n v="89.94"/>
    <x v="66"/>
    <n v="215.66931070000001"/>
    <n v="7.9619999999999997"/>
    <x v="0"/>
  </r>
  <r>
    <x v="0"/>
    <d v="2011-08-26T00:00:00"/>
    <n v="1464693.46"/>
    <n v="0"/>
    <n v="87.96"/>
    <x v="67"/>
    <n v="215.73322580000001"/>
    <n v="7.9619999999999997"/>
    <x v="0"/>
  </r>
  <r>
    <x v="0"/>
    <d v="2011-02-09T00:00:00"/>
    <n v="1550229.22"/>
    <n v="0"/>
    <n v="87.83"/>
    <x v="68"/>
    <n v="215.79714089999999"/>
    <n v="7.9619999999999997"/>
    <x v="0"/>
  </r>
  <r>
    <x v="0"/>
    <d v="2011-09-09T00:00:00"/>
    <n v="1540471.24"/>
    <n v="1"/>
    <n v="76"/>
    <x v="69"/>
    <n v="215.86105599999999"/>
    <n v="7.9619999999999997"/>
    <x v="1"/>
  </r>
  <r>
    <x v="0"/>
    <d v="2011-09-16T00:00:00"/>
    <n v="1514259.78"/>
    <n v="0"/>
    <n v="79.94"/>
    <x v="70"/>
    <n v="216.0410526"/>
    <n v="7.9619999999999997"/>
    <x v="0"/>
  </r>
  <r>
    <x v="0"/>
    <d v="2011-09-23T00:00:00"/>
    <n v="1380020.27"/>
    <n v="0"/>
    <n v="75.8"/>
    <x v="71"/>
    <n v="216.37582459999999"/>
    <n v="7.9619999999999997"/>
    <x v="0"/>
  </r>
  <r>
    <x v="0"/>
    <d v="2011-09-30T00:00:00"/>
    <n v="1394561.83"/>
    <n v="0"/>
    <n v="79.69"/>
    <x v="72"/>
    <n v="216.71059650000001"/>
    <n v="7.9619999999999997"/>
    <x v="0"/>
  </r>
  <r>
    <x v="0"/>
    <d v="2011-07-10T00:00:00"/>
    <n v="1630989.95"/>
    <n v="0"/>
    <n v="69.31"/>
    <x v="73"/>
    <n v="217.0453684"/>
    <n v="7.8659999999999997"/>
    <x v="0"/>
  </r>
  <r>
    <x v="0"/>
    <d v="2011-10-14T00:00:00"/>
    <n v="1493525.93"/>
    <n v="0"/>
    <n v="71.739999999999995"/>
    <x v="74"/>
    <n v="217.35527329999999"/>
    <n v="7.8659999999999997"/>
    <x v="0"/>
  </r>
  <r>
    <x v="0"/>
    <d v="2011-10-21T00:00:00"/>
    <n v="1502562.78"/>
    <n v="0"/>
    <n v="63.71"/>
    <x v="75"/>
    <n v="217.51597620000001"/>
    <n v="7.8659999999999997"/>
    <x v="0"/>
  </r>
  <r>
    <x v="0"/>
    <d v="2011-04-11T00:00:00"/>
    <n v="1697229.58"/>
    <n v="0"/>
    <n v="54.98"/>
    <x v="76"/>
    <n v="217.83738199999999"/>
    <n v="7.8659999999999997"/>
    <x v="0"/>
  </r>
  <r>
    <x v="0"/>
    <d v="2011-11-11T00:00:00"/>
    <n v="1594938.89"/>
    <n v="0"/>
    <n v="59.11"/>
    <x v="77"/>
    <n v="217.99808490000001"/>
    <n v="7.8659999999999997"/>
    <x v="0"/>
  </r>
  <r>
    <x v="0"/>
    <d v="2011-11-25T00:00:00"/>
    <n v="2033320.66"/>
    <n v="1"/>
    <n v="60.14"/>
    <x v="78"/>
    <n v="218.4676211"/>
    <n v="7.8659999999999997"/>
    <x v="1"/>
  </r>
  <r>
    <x v="0"/>
    <d v="2011-02-12T00:00:00"/>
    <n v="1584083.95"/>
    <n v="0"/>
    <n v="48.91"/>
    <x v="79"/>
    <n v="218.71473330000001"/>
    <n v="7.8659999999999997"/>
    <x v="0"/>
  </r>
  <r>
    <x v="0"/>
    <d v="2011-09-12T00:00:00"/>
    <n v="1799682.38"/>
    <n v="0"/>
    <n v="43.93"/>
    <x v="80"/>
    <n v="218.9618456"/>
    <n v="7.8659999999999997"/>
    <x v="0"/>
  </r>
  <r>
    <x v="0"/>
    <d v="2011-12-16T00:00:00"/>
    <n v="1881176.67"/>
    <n v="0"/>
    <n v="51.63"/>
    <x v="81"/>
    <n v="219.17945330000001"/>
    <n v="7.8659999999999997"/>
    <x v="0"/>
  </r>
  <r>
    <x v="0"/>
    <d v="2011-12-23T00:00:00"/>
    <n v="2270188.9900000002"/>
    <n v="0"/>
    <n v="47.96"/>
    <x v="82"/>
    <n v="219.35772159999999"/>
    <n v="7.8659999999999997"/>
    <x v="0"/>
  </r>
  <r>
    <x v="0"/>
    <d v="2011-12-30T00:00:00"/>
    <n v="1497462.72"/>
    <n v="0"/>
    <n v="44.55"/>
    <x v="83"/>
    <n v="219.53598980000001"/>
    <n v="7.8659999999999997"/>
    <x v="0"/>
  </r>
  <r>
    <x v="0"/>
    <d v="2012-06-01T00:00:00"/>
    <n v="1550369.92"/>
    <n v="0"/>
    <n v="49.01"/>
    <x v="84"/>
    <n v="219.7142581"/>
    <n v="7.3479999999999999"/>
    <x v="0"/>
  </r>
  <r>
    <x v="0"/>
    <d v="2012-01-13T00:00:00"/>
    <n v="1459601.17"/>
    <n v="0"/>
    <n v="48.53"/>
    <x v="85"/>
    <n v="219.89252629999999"/>
    <n v="7.3479999999999999"/>
    <x v="0"/>
  </r>
  <r>
    <x v="0"/>
    <d v="2012-01-20T00:00:00"/>
    <n v="1394393.84"/>
    <n v="0"/>
    <n v="54.11"/>
    <x v="86"/>
    <n v="219.98568929999999"/>
    <n v="7.3479999999999999"/>
    <x v="0"/>
  </r>
  <r>
    <x v="0"/>
    <d v="2012-01-27T00:00:00"/>
    <n v="1319325.5900000001"/>
    <n v="0"/>
    <n v="54.26"/>
    <x v="87"/>
    <n v="220.07885229999999"/>
    <n v="7.3479999999999999"/>
    <x v="0"/>
  </r>
  <r>
    <x v="0"/>
    <d v="2012-03-02T00:00:00"/>
    <n v="1636339.65"/>
    <n v="0"/>
    <n v="56.55"/>
    <x v="88"/>
    <n v="220.1720153"/>
    <n v="7.3479999999999999"/>
    <x v="0"/>
  </r>
  <r>
    <x v="0"/>
    <d v="2012-10-02T00:00:00"/>
    <n v="1802477.43"/>
    <n v="1"/>
    <n v="48.02"/>
    <x v="89"/>
    <n v="220.2651783"/>
    <n v="7.3479999999999999"/>
    <x v="1"/>
  </r>
  <r>
    <x v="0"/>
    <d v="2012-02-17T00:00:00"/>
    <n v="1819870"/>
    <n v="0"/>
    <n v="45.32"/>
    <x v="90"/>
    <n v="220.42575859999999"/>
    <n v="7.3479999999999999"/>
    <x v="0"/>
  </r>
  <r>
    <x v="0"/>
    <d v="2012-02-24T00:00:00"/>
    <n v="1539387.83"/>
    <n v="0"/>
    <n v="57.25"/>
    <x v="91"/>
    <n v="220.63690199999999"/>
    <n v="7.3479999999999999"/>
    <x v="0"/>
  </r>
  <r>
    <x v="0"/>
    <d v="2012-02-03T00:00:00"/>
    <n v="1688420.76"/>
    <n v="0"/>
    <n v="-60.96"/>
    <x v="92"/>
    <n v="220.84804539999999"/>
    <n v="7.3479999999999999"/>
    <x v="0"/>
  </r>
  <r>
    <x v="0"/>
    <d v="2012-09-03T00:00:00"/>
    <n v="1675431.16"/>
    <n v="0"/>
    <n v="58.76"/>
    <x v="93"/>
    <n v="221.05918869999999"/>
    <n v="7.3479999999999999"/>
    <x v="0"/>
  </r>
  <r>
    <x v="0"/>
    <d v="2012-03-16T00:00:00"/>
    <n v="1677472.78"/>
    <n v="0"/>
    <n v="64.739999999999995"/>
    <x v="94"/>
    <n v="221.21181319999999"/>
    <n v="7.3479999999999999"/>
    <x v="0"/>
  </r>
  <r>
    <x v="0"/>
    <d v="2012-03-23T00:00:00"/>
    <n v="1511068.07"/>
    <n v="0"/>
    <n v="65.930000000000007"/>
    <x v="95"/>
    <n v="221.28641260000001"/>
    <n v="7.3479999999999999"/>
    <x v="0"/>
  </r>
  <r>
    <x v="0"/>
    <d v="2012-03-30T00:00:00"/>
    <n v="1649604.63"/>
    <n v="0"/>
    <n v="67.61"/>
    <x v="96"/>
    <n v="221.36101189999999"/>
    <n v="7.3479999999999999"/>
    <x v="0"/>
  </r>
  <r>
    <x v="0"/>
    <d v="2012-06-04T00:00:00"/>
    <n v="1899676.88"/>
    <n v="0"/>
    <n v="70.430000000000007"/>
    <x v="97"/>
    <n v="221.43561120000001"/>
    <n v="7.1429999999999998"/>
    <x v="0"/>
  </r>
  <r>
    <x v="0"/>
    <d v="2012-04-13T00:00:00"/>
    <n v="1621031.7"/>
    <n v="0"/>
    <n v="69.069999999999993"/>
    <x v="97"/>
    <n v="221.5102105"/>
    <n v="7.1429999999999998"/>
    <x v="0"/>
  </r>
  <r>
    <x v="0"/>
    <d v="2012-04-20T00:00:00"/>
    <n v="1521577.87"/>
    <n v="0"/>
    <n v="66.760000000000005"/>
    <x v="98"/>
    <n v="221.56407369999999"/>
    <n v="7.1429999999999998"/>
    <x v="0"/>
  </r>
  <r>
    <x v="0"/>
    <d v="2012-04-27T00:00:00"/>
    <n v="1468928.37"/>
    <n v="0"/>
    <n v="67.23"/>
    <x v="99"/>
    <n v="221.6179368"/>
    <n v="7.1429999999999998"/>
    <x v="0"/>
  </r>
  <r>
    <x v="0"/>
    <d v="2012-04-05T00:00:00"/>
    <n v="1684519.99"/>
    <n v="0"/>
    <n v="75.55"/>
    <x v="100"/>
    <n v="221.67179999999999"/>
    <n v="7.1429999999999998"/>
    <x v="0"/>
  </r>
  <r>
    <x v="0"/>
    <d v="2012-11-05T00:00:00"/>
    <n v="1611096.05"/>
    <n v="0"/>
    <n v="73.77"/>
    <x v="101"/>
    <n v="221.72566320000001"/>
    <n v="7.1429999999999998"/>
    <x v="0"/>
  </r>
  <r>
    <x v="0"/>
    <d v="2012-05-25T00:00:00"/>
    <n v="1555444.55"/>
    <n v="0"/>
    <n v="77.22"/>
    <x v="102"/>
    <n v="221.744944"/>
    <n v="7.1429999999999998"/>
    <x v="0"/>
  </r>
  <r>
    <x v="0"/>
    <d v="2012-01-06T00:00:00"/>
    <n v="1624477.58"/>
    <n v="0"/>
    <n v="77.95"/>
    <x v="103"/>
    <n v="221.74721389999999"/>
    <n v="7.1429999999999998"/>
    <x v="0"/>
  </r>
  <r>
    <x v="0"/>
    <d v="2012-08-06T00:00:00"/>
    <n v="1697230.96"/>
    <n v="0"/>
    <n v="78.3"/>
    <x v="104"/>
    <n v="221.7494839"/>
    <n v="7.1429999999999998"/>
    <x v="0"/>
  </r>
  <r>
    <x v="0"/>
    <d v="2012-06-15T00:00:00"/>
    <n v="1630607"/>
    <n v="0"/>
    <n v="79.349999999999994"/>
    <x v="105"/>
    <n v="221.76264209999999"/>
    <n v="7.1429999999999998"/>
    <x v="0"/>
  </r>
  <r>
    <x v="0"/>
    <d v="2012-06-22T00:00:00"/>
    <n v="1527845.81"/>
    <n v="0"/>
    <n v="78.39"/>
    <x v="106"/>
    <n v="221.8030211"/>
    <n v="7.1429999999999998"/>
    <x v="0"/>
  </r>
  <r>
    <x v="0"/>
    <d v="2012-06-29T00:00:00"/>
    <n v="1540421.49"/>
    <n v="0"/>
    <n v="84.88"/>
    <x v="107"/>
    <n v="221.8434"/>
    <n v="7.1429999999999998"/>
    <x v="0"/>
  </r>
  <r>
    <x v="0"/>
    <d v="2012-06-07T00:00:00"/>
    <n v="1769854.16"/>
    <n v="0"/>
    <n v="81.569999999999993"/>
    <x v="108"/>
    <n v="221.88377890000001"/>
    <n v="6.9080000000000004"/>
    <x v="0"/>
  </r>
  <r>
    <x v="0"/>
    <d v="2012-07-13T00:00:00"/>
    <n v="1527014.04"/>
    <n v="0"/>
    <n v="77.12"/>
    <x v="109"/>
    <n v="221.92415790000001"/>
    <n v="6.9080000000000004"/>
    <x v="0"/>
  </r>
  <r>
    <x v="0"/>
    <d v="2012-07-20T00:00:00"/>
    <n v="1497954.76"/>
    <n v="0"/>
    <n v="80.42"/>
    <x v="110"/>
    <n v="221.93272669999999"/>
    <n v="6.9080000000000004"/>
    <x v="0"/>
  </r>
  <r>
    <x v="0"/>
    <d v="2012-07-27T00:00:00"/>
    <n v="1439123.71"/>
    <n v="0"/>
    <n v="82.66"/>
    <x v="111"/>
    <n v="221.9412954"/>
    <n v="6.9080000000000004"/>
    <x v="0"/>
  </r>
  <r>
    <x v="0"/>
    <d v="2012-03-08T00:00:00"/>
    <n v="1631135.79"/>
    <n v="0"/>
    <n v="86.11"/>
    <x v="112"/>
    <n v="221.94986420000001"/>
    <n v="6.9080000000000004"/>
    <x v="0"/>
  </r>
  <r>
    <x v="0"/>
    <d v="2012-10-08T00:00:00"/>
    <n v="1592409.97"/>
    <n v="0"/>
    <n v="85.05"/>
    <x v="113"/>
    <n v="221.95843289999999"/>
    <n v="6.9080000000000004"/>
    <x v="0"/>
  </r>
  <r>
    <x v="0"/>
    <d v="2012-08-17T00:00:00"/>
    <n v="1597868.05"/>
    <n v="0"/>
    <n v="84.85"/>
    <x v="114"/>
    <n v="222.0384109"/>
    <n v="6.9080000000000004"/>
    <x v="0"/>
  </r>
  <r>
    <x v="0"/>
    <d v="2012-08-24T00:00:00"/>
    <n v="1494122.38"/>
    <n v="0"/>
    <n v="77.66"/>
    <x v="115"/>
    <n v="222.17194570000001"/>
    <n v="6.9080000000000004"/>
    <x v="0"/>
  </r>
  <r>
    <x v="0"/>
    <d v="2012-08-31T00:00:00"/>
    <n v="1582083.4"/>
    <n v="0"/>
    <n v="80.489999999999995"/>
    <x v="65"/>
    <n v="222.30548049999999"/>
    <n v="6.9080000000000004"/>
    <x v="0"/>
  </r>
  <r>
    <x v="0"/>
    <d v="2012-07-09T00:00:00"/>
    <n v="1661767.33"/>
    <n v="1"/>
    <n v="83.96"/>
    <x v="116"/>
    <n v="222.43901529999999"/>
    <n v="6.9080000000000004"/>
    <x v="1"/>
  </r>
  <r>
    <x v="0"/>
    <d v="2012-09-14T00:00:00"/>
    <n v="1517428.87"/>
    <n v="0"/>
    <n v="74.97"/>
    <x v="117"/>
    <n v="222.58201930000001"/>
    <n v="6.9080000000000004"/>
    <x v="0"/>
  </r>
  <r>
    <x v="0"/>
    <d v="2012-09-21T00:00:00"/>
    <n v="1506126.06"/>
    <n v="0"/>
    <n v="69.87"/>
    <x v="118"/>
    <n v="222.78183859999999"/>
    <n v="6.9080000000000004"/>
    <x v="0"/>
  </r>
  <r>
    <x v="0"/>
    <d v="2012-09-28T00:00:00"/>
    <n v="1437059.26"/>
    <n v="0"/>
    <n v="76.08"/>
    <x v="119"/>
    <n v="222.98165789999999"/>
    <n v="6.9080000000000004"/>
    <x v="0"/>
  </r>
  <r>
    <x v="0"/>
    <d v="2012-05-10T00:00:00"/>
    <n v="1670785.97"/>
    <n v="0"/>
    <n v="68.55"/>
    <x v="120"/>
    <n v="223.18147719999999"/>
    <n v="6.5730000000000004"/>
    <x v="0"/>
  </r>
  <r>
    <x v="0"/>
    <d v="2012-12-10T00:00:00"/>
    <n v="1573072.81"/>
    <n v="0"/>
    <n v="62.99"/>
    <x v="121"/>
    <n v="223.38129649999999"/>
    <n v="6.5730000000000004"/>
    <x v="0"/>
  </r>
  <r>
    <x v="0"/>
    <d v="2012-10-19T00:00:00"/>
    <n v="1508068.77"/>
    <n v="0"/>
    <n v="67.97"/>
    <x v="58"/>
    <n v="223.42572329999999"/>
    <n v="6.5730000000000004"/>
    <x v="0"/>
  </r>
  <r>
    <x v="0"/>
    <d v="2012-10-26T00:00:00"/>
    <n v="1493659.74"/>
    <n v="0"/>
    <n v="69.16"/>
    <x v="122"/>
    <n v="223.44425129999999"/>
    <n v="6.5730000000000004"/>
    <x v="0"/>
  </r>
  <r>
    <x v="1"/>
    <d v="2010-05-02T00:00:00"/>
    <n v="2136989.46"/>
    <n v="0"/>
    <n v="40.19"/>
    <x v="0"/>
    <n v="210.7526053"/>
    <n v="8.3239999999999998"/>
    <x v="0"/>
  </r>
  <r>
    <x v="1"/>
    <d v="2010-12-02T00:00:00"/>
    <n v="2137809.5"/>
    <n v="1"/>
    <n v="38.49"/>
    <x v="1"/>
    <n v="210.89799350000001"/>
    <n v="8.3239999999999998"/>
    <x v="1"/>
  </r>
  <r>
    <x v="1"/>
    <d v="2010-02-19T00:00:00"/>
    <n v="2124451.54"/>
    <n v="0"/>
    <n v="39.69"/>
    <x v="2"/>
    <n v="210.94516049999999"/>
    <n v="8.3239999999999998"/>
    <x v="0"/>
  </r>
  <r>
    <x v="1"/>
    <d v="2010-02-26T00:00:00"/>
    <n v="1865097.27"/>
    <n v="0"/>
    <n v="46.1"/>
    <x v="3"/>
    <n v="210.9759573"/>
    <n v="8.3239999999999998"/>
    <x v="0"/>
  </r>
  <r>
    <x v="1"/>
    <d v="2010-05-03T00:00:00"/>
    <n v="1991013.13"/>
    <n v="0"/>
    <n v="47.17"/>
    <x v="4"/>
    <n v="211.00675419999999"/>
    <n v="8.3239999999999998"/>
    <x v="0"/>
  </r>
  <r>
    <x v="1"/>
    <d v="2010-12-03T00:00:00"/>
    <n v="1990483.78"/>
    <n v="0"/>
    <n v="57.56"/>
    <x v="5"/>
    <n v="211.03755100000001"/>
    <n v="8.3239999999999998"/>
    <x v="0"/>
  </r>
  <r>
    <x v="1"/>
    <d v="2010-03-19T00:00:00"/>
    <n v="1946070.88"/>
    <n v="0"/>
    <n v="54.52"/>
    <x v="6"/>
    <n v="210.8733316"/>
    <n v="8.3239999999999998"/>
    <x v="0"/>
  </r>
  <r>
    <x v="1"/>
    <d v="2010-03-26T00:00:00"/>
    <n v="1750197.81"/>
    <n v="0"/>
    <n v="51.26"/>
    <x v="7"/>
    <n v="210.67660950000001"/>
    <n v="8.3239999999999998"/>
    <x v="0"/>
  </r>
  <r>
    <x v="1"/>
    <d v="2010-09-04T00:00:00"/>
    <n v="1954689.21"/>
    <n v="0"/>
    <n v="65.41"/>
    <x v="9"/>
    <n v="210.28316530000001"/>
    <n v="8.1999999999999993"/>
    <x v="0"/>
  </r>
  <r>
    <x v="1"/>
    <d v="2010-04-23T00:00:00"/>
    <n v="1821990.93"/>
    <n v="0"/>
    <n v="65.11"/>
    <x v="11"/>
    <n v="210.10006480000001"/>
    <n v="8.1999999999999993"/>
    <x v="0"/>
  </r>
  <r>
    <x v="1"/>
    <d v="2010-07-05T00:00:00"/>
    <n v="30000"/>
    <n v="0"/>
    <n v="71.28"/>
    <x v="13"/>
    <n v="210.00110179999999"/>
    <n v="8.1999999999999993"/>
    <x v="0"/>
  </r>
  <r>
    <x v="1"/>
    <d v="2010-04-06T00:00:00"/>
    <n v="2102539.9300000002"/>
    <n v="0"/>
    <n v="81.81"/>
    <x v="17"/>
    <n v="210.83361600000001"/>
    <n v="8.1999999999999993"/>
    <x v="0"/>
  </r>
  <r>
    <x v="1"/>
    <d v="2010-11-06T00:00:00"/>
    <n v="50000"/>
    <n v="0"/>
    <n v="83.4"/>
    <x v="18"/>
    <n v="211.1120018"/>
    <n v="8.1999999999999993"/>
    <x v="0"/>
  </r>
  <r>
    <x v="1"/>
    <d v="2010-06-18T00:00:00"/>
    <n v="2001636.96"/>
    <n v="0"/>
    <n v="85.81"/>
    <x v="19"/>
    <n v="211.10965429999999"/>
    <n v="8.1999999999999993"/>
    <x v="0"/>
  </r>
  <r>
    <x v="1"/>
    <d v="2010-06-25T00:00:00"/>
    <n v="1939927.09"/>
    <n v="0"/>
    <n v="86.26"/>
    <x v="20"/>
    <n v="210.9950134"/>
    <n v="8.1999999999999993"/>
    <x v="0"/>
  </r>
  <r>
    <x v="1"/>
    <d v="2010-09-07T00:00:00"/>
    <n v="1880902.62"/>
    <n v="0"/>
    <n v="82.59"/>
    <x v="123"/>
    <n v="210.7657317"/>
    <n v="8.0990000000000002"/>
    <x v="0"/>
  </r>
  <r>
    <x v="1"/>
    <d v="2010-07-30T00:00:00"/>
    <n v="18000"/>
    <n v="0"/>
    <n v="83.49"/>
    <x v="124"/>
    <n v="211.0264684"/>
    <n v="8.0990000000000002"/>
    <x v="0"/>
  </r>
  <r>
    <x v="1"/>
    <d v="2010-06-08T00:00:00"/>
    <n v="1991909.98"/>
    <n v="0"/>
    <n v="-89.53"/>
    <x v="23"/>
    <n v="211.16080489999999"/>
    <n v="8.0990000000000002"/>
    <x v="0"/>
  </r>
  <r>
    <x v="1"/>
    <d v="2010-08-20T00:00:00"/>
    <n v="1964335.23"/>
    <n v="0"/>
    <n v="88.7"/>
    <x v="25"/>
    <n v="211.25965859999999"/>
    <n v="8.0990000000000002"/>
    <x v="0"/>
  </r>
  <r>
    <x v="1"/>
    <d v="2010-08-27T00:00:00"/>
    <n v="1863840.49"/>
    <n v="0"/>
    <n v="87.12"/>
    <x v="26"/>
    <n v="211.22417590000001"/>
    <n v="8.0990000000000002"/>
    <x v="0"/>
  </r>
  <r>
    <x v="1"/>
    <d v="2010-03-09T00:00:00"/>
    <n v="1904608.09"/>
    <n v="0"/>
    <n v="81.83"/>
    <x v="125"/>
    <n v="211.18869309999999"/>
    <n v="8.0990000000000002"/>
    <x v="0"/>
  </r>
  <r>
    <x v="1"/>
    <d v="2010-09-17T00:00:00"/>
    <n v="1793903.6"/>
    <n v="0"/>
    <n v="82.05"/>
    <x v="126"/>
    <n v="211.18064150000001"/>
    <n v="8.0990000000000002"/>
    <x v="0"/>
  </r>
  <r>
    <x v="1"/>
    <d v="2010-01-10T00:00:00"/>
    <n v="1827440.43"/>
    <n v="0"/>
    <n v="69.239999999999995"/>
    <x v="127"/>
    <n v="211.32987420000001"/>
    <n v="8.1630000000000003"/>
    <x v="0"/>
  </r>
  <r>
    <x v="1"/>
    <d v="2010-08-10T00:00:00"/>
    <n v="1849921.44"/>
    <n v="0"/>
    <n v="63.19"/>
    <x v="28"/>
    <n v="211.4044906"/>
    <n v="8.1630000000000003"/>
    <x v="0"/>
  </r>
  <r>
    <x v="1"/>
    <d v="2010-10-15T00:00:00"/>
    <n v="1794355.49"/>
    <n v="0"/>
    <n v="65.8"/>
    <x v="6"/>
    <n v="211.47132859999999"/>
    <n v="8.1630000000000003"/>
    <x v="0"/>
  </r>
  <r>
    <x v="1"/>
    <d v="2010-10-22T00:00:00"/>
    <n v="1737947.64"/>
    <n v="0"/>
    <n v="68.5"/>
    <x v="29"/>
    <n v="211.51872080000001"/>
    <n v="8.1630000000000003"/>
    <x v="0"/>
  </r>
  <r>
    <x v="1"/>
    <d v="2010-10-29T00:00:00"/>
    <n v="1802755.11"/>
    <n v="0"/>
    <n v="66.239999999999995"/>
    <x v="128"/>
    <n v="211.5661131"/>
    <n v="8.1630000000000003"/>
    <x v="0"/>
  </r>
  <r>
    <x v="1"/>
    <d v="2010-11-19T00:00:00"/>
    <n v="1956739.17"/>
    <n v="0"/>
    <n v="60"/>
    <x v="31"/>
    <n v="211.54703040000001"/>
    <n v="8.1630000000000003"/>
    <x v="0"/>
  </r>
  <r>
    <x v="1"/>
    <d v="2010-11-26T00:00:00"/>
    <n v="2658725.29"/>
    <n v="1"/>
    <n v="62.98"/>
    <x v="32"/>
    <n v="211.40628670000001"/>
    <n v="8.1630000000000003"/>
    <x v="1"/>
  </r>
  <r>
    <x v="1"/>
    <d v="2010-03-12T00:00:00"/>
    <n v="2015781.27"/>
    <n v="0"/>
    <n v="49.33"/>
    <x v="33"/>
    <n v="211.26554300000001"/>
    <n v="8.1630000000000003"/>
    <x v="0"/>
  </r>
  <r>
    <x v="1"/>
    <d v="2010-10-12T00:00:00"/>
    <n v="2378726.5499999998"/>
    <n v="0"/>
    <n v="45.5"/>
    <x v="34"/>
    <n v="211.12479930000001"/>
    <n v="8.1630000000000003"/>
    <x v="0"/>
  </r>
  <r>
    <x v="1"/>
    <d v="2010-12-17T00:00:00"/>
    <n v="2609166.75"/>
    <n v="0"/>
    <n v="47.55"/>
    <x v="35"/>
    <n v="211.06454579999999"/>
    <n v="8.1630000000000003"/>
    <x v="0"/>
  </r>
  <r>
    <x v="1"/>
    <d v="2010-12-24T00:00:00"/>
    <n v="3436007.68"/>
    <n v="0"/>
    <n v="49.97"/>
    <x v="36"/>
    <n v="211.06465990000001"/>
    <n v="8.1630000000000003"/>
    <x v="0"/>
  </r>
  <r>
    <x v="1"/>
    <d v="2011-07-01T00:00:00"/>
    <n v="1758050.79"/>
    <n v="0"/>
    <n v="44.69"/>
    <x v="38"/>
    <n v="211.06488809999999"/>
    <n v="8.0280000000000005"/>
    <x v="0"/>
  </r>
  <r>
    <x v="1"/>
    <d v="2011-01-14T00:00:00"/>
    <n v="1744193.58"/>
    <n v="0"/>
    <n v="30"/>
    <x v="129"/>
    <n v="211.11767130000001"/>
    <n v="8.0280000000000005"/>
    <x v="0"/>
  </r>
  <r>
    <x v="1"/>
    <d v="2011-01-28T00:00:00"/>
    <n v="1695371.68"/>
    <n v="0"/>
    <n v="42.83"/>
    <x v="40"/>
    <n v="211.85526680000001"/>
    <n v="8.0280000000000005"/>
    <x v="0"/>
  </r>
  <r>
    <x v="1"/>
    <d v="2011-04-02T00:00:00"/>
    <n v="1929346.23"/>
    <n v="0"/>
    <n v="38.25"/>
    <x v="130"/>
    <n v="212.22406459999999"/>
    <n v="8.0280000000000005"/>
    <x v="0"/>
  </r>
  <r>
    <x v="1"/>
    <d v="2011-11-02T00:00:00"/>
    <n v="2168041.61"/>
    <n v="1"/>
    <n v="33.19"/>
    <x v="41"/>
    <n v="212.5928624"/>
    <n v="8.0280000000000005"/>
    <x v="1"/>
  </r>
  <r>
    <x v="1"/>
    <d v="2011-02-18T00:00:00"/>
    <n v="2080884.82"/>
    <n v="0"/>
    <n v="57.83"/>
    <x v="42"/>
    <n v="212.9033115"/>
    <n v="8.0280000000000005"/>
    <x v="0"/>
  </r>
  <r>
    <x v="1"/>
    <d v="2011-02-25T00:00:00"/>
    <n v="1833511.08"/>
    <n v="0"/>
    <n v="60.8"/>
    <x v="43"/>
    <n v="213.19042099999999"/>
    <n v="8.0280000000000005"/>
    <x v="0"/>
  </r>
  <r>
    <x v="1"/>
    <d v="2011-04-03T00:00:00"/>
    <n v="1981607.78"/>
    <n v="0"/>
    <n v="57.77"/>
    <x v="44"/>
    <n v="213.4775305"/>
    <n v="8.0280000000000005"/>
    <x v="0"/>
  </r>
  <r>
    <x v="1"/>
    <d v="2011-11-03T00:00:00"/>
    <n v="1879107.31"/>
    <n v="0"/>
    <n v="52.7"/>
    <x v="131"/>
    <n v="213.76464010000001"/>
    <n v="8.0280000000000005"/>
    <x v="0"/>
  </r>
  <r>
    <x v="1"/>
    <d v="2011-03-18T00:00:00"/>
    <n v="1902557.66"/>
    <n v="0"/>
    <n v="62.32"/>
    <x v="45"/>
    <n v="214.01562379999999"/>
    <n v="8.0280000000000005"/>
    <x v="0"/>
  </r>
  <r>
    <x v="1"/>
    <d v="2011-03-25T00:00:00"/>
    <n v="1766162.05"/>
    <n v="0"/>
    <n v="69.42"/>
    <x v="46"/>
    <n v="214.25215729999999"/>
    <n v="8.0280000000000005"/>
    <x v="0"/>
  </r>
  <r>
    <x v="1"/>
    <d v="2011-01-04T00:00:00"/>
    <n v="1800171.36"/>
    <n v="0"/>
    <n v="55.43"/>
    <x v="59"/>
    <n v="214.4886908"/>
    <n v="7.931"/>
    <x v="0"/>
  </r>
  <r>
    <x v="1"/>
    <d v="2011-08-04T00:00:00"/>
    <n v="1847552.61"/>
    <n v="0"/>
    <n v="75"/>
    <x v="47"/>
    <n v="214.72522420000001"/>
    <n v="7.931"/>
    <x v="0"/>
  </r>
  <r>
    <x v="1"/>
    <d v="2011-04-15T00:00:00"/>
    <n v="1856467.84"/>
    <n v="0"/>
    <n v="69.48"/>
    <x v="48"/>
    <n v="214.94206310000001"/>
    <n v="7.931"/>
    <x v="0"/>
  </r>
  <r>
    <x v="1"/>
    <d v="2011-04-22T00:00:00"/>
    <n v="1886339.6"/>
    <n v="0"/>
    <n v="69.39"/>
    <x v="49"/>
    <n v="215.10966569999999"/>
    <n v="7.931"/>
    <x v="0"/>
  </r>
  <r>
    <x v="1"/>
    <d v="2011-04-29T00:00:00"/>
    <n v="1745545.28"/>
    <n v="0"/>
    <n v="69.209999999999994"/>
    <x v="50"/>
    <n v="215.2772683"/>
    <n v="7.931"/>
    <x v="0"/>
  </r>
  <r>
    <x v="1"/>
    <d v="2011-06-05T00:00:00"/>
    <n v="1837743.6"/>
    <n v="0"/>
    <n v="61.48"/>
    <x v="51"/>
    <n v="215.44487090000001"/>
    <n v="7.931"/>
    <x v="0"/>
  </r>
  <r>
    <x v="1"/>
    <d v="2011-05-13T00:00:00"/>
    <n v="1838513.07"/>
    <n v="0"/>
    <n v="75"/>
    <x v="52"/>
    <n v="215.61247349999999"/>
    <n v="7.931"/>
    <x v="0"/>
  </r>
  <r>
    <x v="1"/>
    <d v="2011-05-20T00:00:00"/>
    <n v="1688281.86"/>
    <n v="0"/>
    <n v="67.14"/>
    <x v="53"/>
    <n v="215.38347780000001"/>
    <n v="7.931"/>
    <x v="0"/>
  </r>
  <r>
    <x v="1"/>
    <d v="2011-05-27T00:00:00"/>
    <n v="1797732.56"/>
    <n v="0"/>
    <n v="76.42"/>
    <x v="54"/>
    <n v="215.15448219999999"/>
    <n v="7.931"/>
    <x v="0"/>
  </r>
  <r>
    <x v="1"/>
    <d v="2011-03-06T00:00:00"/>
    <n v="1933756.21"/>
    <n v="0"/>
    <n v="83.07"/>
    <x v="55"/>
    <n v="214.92548650000001"/>
    <n v="7.931"/>
    <x v="0"/>
  </r>
  <r>
    <x v="1"/>
    <d v="2011-10-06T00:00:00"/>
    <n v="1929153.16"/>
    <n v="0"/>
    <n v="83.4"/>
    <x v="56"/>
    <n v="214.69649079999999"/>
    <n v="7.931"/>
    <x v="0"/>
  </r>
  <r>
    <x v="1"/>
    <d v="2011-06-17T00:00:00"/>
    <n v="1953771.99"/>
    <n v="0"/>
    <n v="86.53"/>
    <x v="57"/>
    <n v="214.65135380000001"/>
    <n v="7.931"/>
    <x v="0"/>
  </r>
  <r>
    <x v="1"/>
    <d v="2011-06-24T00:00:00"/>
    <n v="1790925.8"/>
    <n v="0"/>
    <n v="85.17"/>
    <x v="58"/>
    <n v="214.74411079999999"/>
    <n v="7.931"/>
    <x v="0"/>
  </r>
  <r>
    <x v="1"/>
    <d v="2011-01-07T00:00:00"/>
    <n v="1866243"/>
    <n v="0"/>
    <n v="85.69"/>
    <x v="59"/>
    <n v="214.83686779999999"/>
    <n v="7.8520000000000003"/>
    <x v="0"/>
  </r>
  <r>
    <x v="1"/>
    <d v="2011-08-07T00:00:00"/>
    <n v="1853161.99"/>
    <n v="0"/>
    <n v="87.7"/>
    <x v="60"/>
    <n v="214.92962489999999"/>
    <n v="7.8520000000000003"/>
    <x v="0"/>
  </r>
  <r>
    <x v="1"/>
    <d v="2011-07-15T00:00:00"/>
    <n v="1785187.29"/>
    <n v="0"/>
    <n v="89.83"/>
    <x v="61"/>
    <n v="215.01344259999999"/>
    <n v="7.8520000000000003"/>
    <x v="0"/>
  </r>
  <r>
    <x v="1"/>
    <d v="2011-07-22T00:00:00"/>
    <n v="1743816.41"/>
    <n v="0"/>
    <n v="89.34"/>
    <x v="62"/>
    <n v="215.0749122"/>
    <n v="7.8520000000000003"/>
    <x v="0"/>
  </r>
  <r>
    <x v="1"/>
    <d v="2011-07-29T00:00:00"/>
    <n v="1680693.06"/>
    <n v="0"/>
    <n v="90.07"/>
    <x v="63"/>
    <n v="215.1363819"/>
    <n v="7.8520000000000003"/>
    <x v="0"/>
  </r>
  <r>
    <x v="1"/>
    <d v="2011-05-08T00:00:00"/>
    <n v="1876704.26"/>
    <n v="0"/>
    <n v="93.34"/>
    <x v="64"/>
    <n v="215.19785150000001"/>
    <n v="7.8520000000000003"/>
    <x v="0"/>
  </r>
  <r>
    <x v="1"/>
    <d v="2011-12-08T00:00:00"/>
    <n v="1812768.26"/>
    <n v="0"/>
    <n v="91.58"/>
    <x v="65"/>
    <n v="215.25932109999999"/>
    <n v="7.8520000000000003"/>
    <x v="0"/>
  </r>
  <r>
    <x v="1"/>
    <d v="2011-08-19T00:00:00"/>
    <n v="1844094.59"/>
    <n v="0"/>
    <n v="89.86"/>
    <x v="66"/>
    <n v="215.3229307"/>
    <n v="7.8520000000000003"/>
    <x v="0"/>
  </r>
  <r>
    <x v="1"/>
    <d v="2011-08-26T00:00:00"/>
    <n v="1821139.91"/>
    <n v="0"/>
    <n v="90.45"/>
    <x v="67"/>
    <n v="215.386897"/>
    <n v="7.8520000000000003"/>
    <x v="0"/>
  </r>
  <r>
    <x v="1"/>
    <d v="2011-02-09T00:00:00"/>
    <n v="1809119.7"/>
    <n v="0"/>
    <n v="89.64"/>
    <x v="68"/>
    <n v="215.45086319999999"/>
    <n v="7.8520000000000003"/>
    <x v="0"/>
  </r>
  <r>
    <x v="1"/>
    <d v="2011-09-09T00:00:00"/>
    <n v="1748000.65"/>
    <n v="1"/>
    <n v="77.97"/>
    <x v="69"/>
    <n v="215.51482949999999"/>
    <n v="7.8520000000000003"/>
    <x v="1"/>
  </r>
  <r>
    <x v="1"/>
    <d v="2011-09-16T00:00:00"/>
    <n v="1691439.52"/>
    <n v="0"/>
    <n v="78.849999999999994"/>
    <x v="70"/>
    <n v="215.6944378"/>
    <n v="7.8520000000000003"/>
    <x v="0"/>
  </r>
  <r>
    <x v="1"/>
    <d v="2011-09-23T00:00:00"/>
    <n v="1669299.78"/>
    <n v="0"/>
    <n v="75.58"/>
    <x v="71"/>
    <n v="216.02823559999999"/>
    <n v="7.8520000000000003"/>
    <x v="0"/>
  </r>
  <r>
    <x v="1"/>
    <d v="2011-09-30T00:00:00"/>
    <n v="1650394.44"/>
    <n v="0"/>
    <n v="78.14"/>
    <x v="72"/>
    <n v="216.36203330000001"/>
    <n v="7.8520000000000003"/>
    <x v="0"/>
  </r>
  <r>
    <x v="1"/>
    <d v="2011-07-10T00:00:00"/>
    <n v="1837553.43"/>
    <n v="0"/>
    <n v="69.92"/>
    <x v="73"/>
    <n v="216.69583109999999"/>
    <n v="7.4409999999999998"/>
    <x v="0"/>
  </r>
  <r>
    <x v="1"/>
    <d v="2011-10-14T00:00:00"/>
    <n v="1743882.19"/>
    <n v="0"/>
    <n v="71.67"/>
    <x v="74"/>
    <n v="217.0048261"/>
    <n v="7.4409999999999998"/>
    <x v="0"/>
  </r>
  <r>
    <x v="1"/>
    <d v="2011-10-21T00:00:00"/>
    <n v="1834680.25"/>
    <n v="0"/>
    <n v="64.53"/>
    <x v="75"/>
    <n v="217.1650042"/>
    <n v="7.4409999999999998"/>
    <x v="0"/>
  </r>
  <r>
    <x v="1"/>
    <d v="2011-10-28T00:00:00"/>
    <n v="1769296.25"/>
    <n v="0"/>
    <n v="65.87"/>
    <x v="132"/>
    <n v="217.32518239999999"/>
    <n v="7.4409999999999998"/>
    <x v="0"/>
  </r>
  <r>
    <x v="1"/>
    <d v="2011-04-11T00:00:00"/>
    <n v="1959707.9"/>
    <n v="0"/>
    <n v="55.53"/>
    <x v="76"/>
    <n v="217.48536050000001"/>
    <n v="7.4409999999999998"/>
    <x v="0"/>
  </r>
  <r>
    <x v="1"/>
    <d v="2011-11-11T00:00:00"/>
    <n v="1920725.15"/>
    <n v="0"/>
    <n v="59.33"/>
    <x v="77"/>
    <n v="217.6455387"/>
    <n v="7.4409999999999998"/>
    <x v="0"/>
  </r>
  <r>
    <x v="1"/>
    <d v="2011-11-18T00:00:00"/>
    <n v="1902762.5"/>
    <n v="0"/>
    <n v="62.01"/>
    <x v="133"/>
    <n v="217.8670218"/>
    <n v="7.4409999999999998"/>
    <x v="0"/>
  </r>
  <r>
    <x v="1"/>
    <d v="2011-11-25T00:00:00"/>
    <n v="2614202.2999999998"/>
    <n v="1"/>
    <n v="56.36"/>
    <x v="78"/>
    <n v="218.11302689999999"/>
    <n v="7.4409999999999998"/>
    <x v="1"/>
  </r>
  <r>
    <x v="1"/>
    <d v="2011-02-12T00:00:00"/>
    <n v="1954952"/>
    <n v="0"/>
    <n v="48.74"/>
    <x v="79"/>
    <n v="218.35903189999999"/>
    <n v="7.4409999999999998"/>
    <x v="0"/>
  </r>
  <r>
    <x v="1"/>
    <d v="2011-09-12T00:00:00"/>
    <n v="2290549.3199999998"/>
    <n v="0"/>
    <n v="30"/>
    <x v="80"/>
    <n v="218.60503700000001"/>
    <n v="7.4409999999999998"/>
    <x v="0"/>
  </r>
  <r>
    <x v="1"/>
    <d v="2011-12-16T00:00:00"/>
    <n v="2432736.52"/>
    <n v="0"/>
    <n v="50.13"/>
    <x v="81"/>
    <n v="218.8217928"/>
    <n v="7.4409999999999998"/>
    <x v="0"/>
  </r>
  <r>
    <x v="1"/>
    <d v="2011-12-23T00:00:00"/>
    <n v="3224369.8"/>
    <n v="0"/>
    <n v="46.66"/>
    <x v="82"/>
    <n v="218.9995495"/>
    <n v="7.4409999999999998"/>
    <x v="0"/>
  </r>
  <r>
    <x v="1"/>
    <d v="2011-12-30T00:00:00"/>
    <n v="1874226.52"/>
    <n v="1"/>
    <n v="44.57"/>
    <x v="83"/>
    <n v="219.1773063"/>
    <n v="7.4409999999999998"/>
    <x v="1"/>
  </r>
  <r>
    <x v="1"/>
    <d v="2012-06-01T00:00:00"/>
    <n v="1799520.14"/>
    <n v="0"/>
    <n v="46.75"/>
    <x v="84"/>
    <n v="219.355063"/>
    <n v="7.0570000000000004"/>
    <x v="0"/>
  </r>
  <r>
    <x v="1"/>
    <d v="2012-01-13T00:00:00"/>
    <n v="1744725.48"/>
    <n v="0"/>
    <n v="45.99"/>
    <x v="85"/>
    <n v="219.5328198"/>
    <n v="7.0570000000000004"/>
    <x v="0"/>
  </r>
  <r>
    <x v="1"/>
    <d v="2012-01-20T00:00:00"/>
    <n v="1711769.11"/>
    <n v="0"/>
    <n v="51.7"/>
    <x v="86"/>
    <n v="219.6258417"/>
    <n v="7.0570000000000004"/>
    <x v="0"/>
  </r>
  <r>
    <x v="1"/>
    <d v="2012-01-27T00:00:00"/>
    <n v="1660906.14"/>
    <n v="0"/>
    <n v="50.5"/>
    <x v="87"/>
    <n v="219.71886359999999"/>
    <n v="7.0570000000000004"/>
    <x v="0"/>
  </r>
  <r>
    <x v="1"/>
    <d v="2012-03-02T00:00:00"/>
    <n v="1935299.94"/>
    <n v="0"/>
    <n v="55.21"/>
    <x v="88"/>
    <n v="219.81188539999999"/>
    <n v="7.0570000000000004"/>
    <x v="0"/>
  </r>
  <r>
    <x v="1"/>
    <d v="2012-10-02T00:00:00"/>
    <n v="2103322.6800000002"/>
    <n v="1"/>
    <n v="46.98"/>
    <x v="89"/>
    <n v="219.90490729999999"/>
    <n v="7.0570000000000004"/>
    <x v="1"/>
  </r>
  <r>
    <x v="1"/>
    <d v="2012-02-17T00:00:00"/>
    <n v="2196688.46"/>
    <n v="0"/>
    <n v="43.82"/>
    <x v="90"/>
    <n v="220.06519929999999"/>
    <n v="7.0570000000000004"/>
    <x v="0"/>
  </r>
  <r>
    <x v="1"/>
    <d v="2012-02-24T00:00:00"/>
    <n v="1861802.7"/>
    <n v="0"/>
    <n v="54.63"/>
    <x v="91"/>
    <n v="220.27594400000001"/>
    <n v="7.0570000000000004"/>
    <x v="0"/>
  </r>
  <r>
    <x v="1"/>
    <d v="2012-02-03T00:00:00"/>
    <n v="1952555.66"/>
    <n v="0"/>
    <n v="58.79"/>
    <x v="92"/>
    <n v="220.48668860000001"/>
    <n v="7.0570000000000004"/>
    <x v="0"/>
  </r>
  <r>
    <x v="1"/>
    <d v="2012-09-03T00:00:00"/>
    <n v="1937628.26"/>
    <n v="0"/>
    <n v="57.11"/>
    <x v="93"/>
    <n v="220.69743320000001"/>
    <n v="7.0570000000000004"/>
    <x v="0"/>
  </r>
  <r>
    <x v="1"/>
    <d v="2012-03-16T00:00:00"/>
    <n v="1976082.13"/>
    <n v="0"/>
    <n v="63.68"/>
    <x v="94"/>
    <n v="220.84984679999999"/>
    <n v="7.0570000000000004"/>
    <x v="0"/>
  </r>
  <r>
    <x v="1"/>
    <d v="2012-03-23T00:00:00"/>
    <n v="1790439.16"/>
    <n v="0"/>
    <n v="64.010000000000005"/>
    <x v="95"/>
    <n v="220.92448580000001"/>
    <n v="7.0570000000000004"/>
    <x v="0"/>
  </r>
  <r>
    <x v="1"/>
    <d v="2012-03-30T00:00:00"/>
    <n v="1857480.84"/>
    <n v="0"/>
    <n v="66.83"/>
    <x v="96"/>
    <n v="220.9991248"/>
    <n v="7.0570000000000004"/>
    <x v="0"/>
  </r>
  <r>
    <x v="1"/>
    <d v="2012-06-04T00:00:00"/>
    <n v="2129035.91"/>
    <n v="0"/>
    <n v="68.430000000000007"/>
    <x v="97"/>
    <n v="221.07376379999999"/>
    <n v="6.891"/>
    <x v="0"/>
  </r>
  <r>
    <x v="1"/>
    <d v="2012-04-13T00:00:00"/>
    <n v="1935869.1"/>
    <n v="0"/>
    <n v="68.08"/>
    <x v="97"/>
    <n v="221.14840280000001"/>
    <n v="6.891"/>
    <x v="0"/>
  </r>
  <r>
    <x v="1"/>
    <d v="2012-04-20T00:00:00"/>
    <n v="1847344.45"/>
    <n v="0"/>
    <n v="65.69"/>
    <x v="98"/>
    <n v="221.20210739999999"/>
    <n v="6.891"/>
    <x v="0"/>
  </r>
  <r>
    <x v="1"/>
    <d v="2012-04-27T00:00:00"/>
    <n v="1764133.09"/>
    <n v="0"/>
    <n v="67.2"/>
    <x v="99"/>
    <n v="221.25581199999999"/>
    <n v="6.891"/>
    <x v="0"/>
  </r>
  <r>
    <x v="1"/>
    <d v="2012-04-05T00:00:00"/>
    <n v="1923957.09"/>
    <n v="0"/>
    <n v="76.73"/>
    <x v="100"/>
    <n v="221.30951659999999"/>
    <n v="6.891"/>
    <x v="0"/>
  </r>
  <r>
    <x v="1"/>
    <d v="2012-11-05T00:00:00"/>
    <n v="1917520.99"/>
    <n v="0"/>
    <n v="73.87"/>
    <x v="101"/>
    <n v="221.3632212"/>
    <n v="6.891"/>
    <x v="0"/>
  </r>
  <r>
    <x v="1"/>
    <d v="2012-05-18T00:00:00"/>
    <n v="2000940.67"/>
    <n v="0"/>
    <n v="71.27"/>
    <x v="92"/>
    <n v="221.38033100000001"/>
    <n v="6.891"/>
    <x v="0"/>
  </r>
  <r>
    <x v="1"/>
    <d v="2012-05-25T00:00:00"/>
    <n v="1912791.09"/>
    <n v="0"/>
    <n v="78.19"/>
    <x v="102"/>
    <n v="221.3828029"/>
    <n v="6.891"/>
    <x v="0"/>
  </r>
  <r>
    <x v="1"/>
    <d v="2012-01-06T00:00:00"/>
    <n v="1910092.37"/>
    <n v="0"/>
    <n v="78.38"/>
    <x v="103"/>
    <n v="221.38527479999999"/>
    <n v="6.891"/>
    <x v="0"/>
  </r>
  <r>
    <x v="1"/>
    <d v="2012-08-06T00:00:00"/>
    <n v="2010216.49"/>
    <n v="0"/>
    <n v="78.69"/>
    <x v="104"/>
    <n v="221.38774670000001"/>
    <n v="6.891"/>
    <x v="0"/>
  </r>
  <r>
    <x v="1"/>
    <d v="2012-06-15T00:00:00"/>
    <n v="1962924.3"/>
    <n v="0"/>
    <n v="80.56"/>
    <x v="105"/>
    <n v="221.4009901"/>
    <n v="6.891"/>
    <x v="0"/>
  </r>
  <r>
    <x v="1"/>
    <d v="2012-06-22T00:00:00"/>
    <n v="1887733.21"/>
    <n v="0"/>
    <n v="81.040000000000006"/>
    <x v="106"/>
    <n v="221.44116220000001"/>
    <n v="6.891"/>
    <x v="0"/>
  </r>
  <r>
    <x v="1"/>
    <d v="2012-06-29T00:00:00"/>
    <n v="1881046.12"/>
    <n v="0"/>
    <n v="86.32"/>
    <x v="107"/>
    <n v="221.48133429999999"/>
    <n v="6.891"/>
    <x v="0"/>
  </r>
  <r>
    <x v="1"/>
    <d v="2012-06-07T00:00:00"/>
    <n v="2041507.4"/>
    <n v="0"/>
    <n v="84.2"/>
    <x v="108"/>
    <n v="221.52150639999999"/>
    <n v="6.5650000000000004"/>
    <x v="0"/>
  </r>
  <r>
    <x v="1"/>
    <d v="2012-07-13T00:00:00"/>
    <n v="1830075.13"/>
    <n v="0"/>
    <n v="80.17"/>
    <x v="109"/>
    <n v="221.56167840000001"/>
    <n v="6.5650000000000004"/>
    <x v="0"/>
  </r>
  <r>
    <x v="1"/>
    <d v="2012-07-20T00:00:00"/>
    <n v="1819666.46"/>
    <n v="0"/>
    <n v="83.23"/>
    <x v="110"/>
    <n v="221.57011230000001"/>
    <n v="6.5650000000000004"/>
    <x v="0"/>
  </r>
  <r>
    <x v="1"/>
    <d v="2012-07-27T00:00:00"/>
    <n v="1757923.88"/>
    <n v="0"/>
    <n v="86.37"/>
    <x v="111"/>
    <n v="221.57854610000001"/>
    <n v="6.5650000000000004"/>
    <x v="0"/>
  </r>
  <r>
    <x v="1"/>
    <d v="2012-03-08T00:00:00"/>
    <n v="1946104.64"/>
    <n v="0"/>
    <n v="90.22"/>
    <x v="112"/>
    <n v="221.58697989999999"/>
    <n v="6.5650000000000004"/>
    <x v="0"/>
  </r>
  <r>
    <x v="1"/>
    <d v="2012-10-08T00:00:00"/>
    <n v="1866719.96"/>
    <n v="0"/>
    <n v="88.55"/>
    <x v="113"/>
    <n v="221.59541379999999"/>
    <n v="6.5650000000000004"/>
    <x v="0"/>
  </r>
  <r>
    <x v="1"/>
    <d v="2012-08-17T00:00:00"/>
    <n v="1928016.01"/>
    <n v="0"/>
    <n v="84.79"/>
    <x v="114"/>
    <n v="221.67514589999999"/>
    <n v="6.5650000000000004"/>
    <x v="0"/>
  </r>
  <r>
    <x v="1"/>
    <d v="2012-08-24T00:00:00"/>
    <n v="1876788.15"/>
    <n v="0"/>
    <n v="76.91"/>
    <x v="115"/>
    <n v="221.8083518"/>
    <n v="6.5650000000000004"/>
    <x v="0"/>
  </r>
  <r>
    <x v="1"/>
    <d v="2012-08-31T00:00:00"/>
    <n v="1947083.3"/>
    <n v="0"/>
    <n v="82.64"/>
    <x v="65"/>
    <n v="221.94155760000001"/>
    <n v="6.5650000000000004"/>
    <x v="0"/>
  </r>
  <r>
    <x v="1"/>
    <d v="2012-07-09T00:00:00"/>
    <n v="1898777.07"/>
    <n v="1"/>
    <n v="87.65"/>
    <x v="116"/>
    <n v="222.07476349999999"/>
    <n v="6.5650000000000004"/>
    <x v="1"/>
  </r>
  <r>
    <x v="1"/>
    <d v="2012-09-14T00:00:00"/>
    <n v="1814806.63"/>
    <n v="0"/>
    <n v="75.88"/>
    <x v="117"/>
    <n v="222.21743950000001"/>
    <n v="6.5650000000000004"/>
    <x v="0"/>
  </r>
  <r>
    <x v="1"/>
    <d v="2012-09-21T00:00:00"/>
    <n v="1829415.67"/>
    <n v="0"/>
    <n v="71.09"/>
    <x v="118"/>
    <n v="222.41693620000001"/>
    <n v="6.5650000000000004"/>
    <x v="0"/>
  </r>
  <r>
    <x v="1"/>
    <d v="2012-09-28T00:00:00"/>
    <n v="1746470.56"/>
    <n v="0"/>
    <n v="79.45"/>
    <x v="119"/>
    <n v="222.61643290000001"/>
    <n v="6.5650000000000004"/>
    <x v="0"/>
  </r>
  <r>
    <x v="1"/>
    <d v="2012-05-10T00:00:00"/>
    <n v="1998321.04"/>
    <n v="0"/>
    <n v="70.27"/>
    <x v="120"/>
    <n v="222.8159296"/>
    <n v="6.17"/>
    <x v="0"/>
  </r>
  <r>
    <x v="1"/>
    <d v="2012-12-10T00:00:00"/>
    <n v="1900745.13"/>
    <n v="0"/>
    <n v="60.97"/>
    <x v="121"/>
    <n v="223.0154263"/>
    <n v="6.17"/>
    <x v="0"/>
  </r>
  <r>
    <x v="1"/>
    <d v="2012-10-19T00:00:00"/>
    <n v="1847990.41"/>
    <n v="0"/>
    <n v="68.08"/>
    <x v="58"/>
    <n v="223.05980769999999"/>
    <n v="6.17"/>
    <x v="0"/>
  </r>
  <r>
    <x v="1"/>
    <d v="2012-10-26T00:00:00"/>
    <n v="1834458.35"/>
    <n v="0"/>
    <n v="69.790000000000006"/>
    <x v="122"/>
    <n v="223.0783366"/>
    <n v="6.17"/>
    <x v="0"/>
  </r>
  <r>
    <x v="2"/>
    <d v="2010-05-02T00:00:00"/>
    <n v="461622.22"/>
    <n v="0"/>
    <n v="45.71"/>
    <x v="0"/>
    <n v="214.42488119999999"/>
    <n v="7.3680000000000003"/>
    <x v="0"/>
  </r>
  <r>
    <x v="2"/>
    <d v="2010-12-02T00:00:00"/>
    <n v="420728.96"/>
    <n v="1"/>
    <n v="47.93"/>
    <x v="1"/>
    <n v="214.5747916"/>
    <n v="7.3680000000000003"/>
    <x v="1"/>
  </r>
  <r>
    <x v="2"/>
    <d v="2010-02-19T00:00:00"/>
    <n v="421642.19"/>
    <n v="0"/>
    <n v="47.07"/>
    <x v="2"/>
    <n v="214.61988679999999"/>
    <n v="7.3680000000000003"/>
    <x v="0"/>
  </r>
  <r>
    <x v="2"/>
    <d v="2010-02-26T00:00:00"/>
    <n v="407204.86"/>
    <n v="0"/>
    <n v="52.05"/>
    <x v="3"/>
    <n v="214.64751269999999"/>
    <n v="7.3680000000000003"/>
    <x v="0"/>
  </r>
  <r>
    <x v="2"/>
    <d v="2010-05-03T00:00:00"/>
    <n v="415202.04"/>
    <n v="0"/>
    <n v="53.04"/>
    <x v="4"/>
    <n v="214.6751386"/>
    <n v="7.3680000000000003"/>
    <x v="0"/>
  </r>
  <r>
    <x v="2"/>
    <d v="2010-12-03T00:00:00"/>
    <n v="384200.69"/>
    <n v="0"/>
    <n v="63.08"/>
    <x v="5"/>
    <n v="214.70276459999999"/>
    <n v="7.3680000000000003"/>
    <x v="0"/>
  </r>
  <r>
    <x v="2"/>
    <d v="2010-03-19T00:00:00"/>
    <n v="375328.59"/>
    <n v="0"/>
    <n v="60.42"/>
    <x v="6"/>
    <n v="214.53012190000001"/>
    <n v="7.3680000000000003"/>
    <x v="0"/>
  </r>
  <r>
    <x v="2"/>
    <d v="2010-03-26T00:00:00"/>
    <n v="359949.27"/>
    <n v="0"/>
    <n v="57.06"/>
    <x v="7"/>
    <n v="214.32410110000001"/>
    <n v="7.3680000000000003"/>
    <x v="0"/>
  </r>
  <r>
    <x v="2"/>
    <d v="2010-09-04T00:00:00"/>
    <n v="415870.28"/>
    <n v="0"/>
    <n v="68"/>
    <x v="9"/>
    <n v="213.9120595"/>
    <n v="7.343"/>
    <x v="0"/>
  </r>
  <r>
    <x v="2"/>
    <d v="2010-04-16T00:00:00"/>
    <n v="354993.26"/>
    <n v="0"/>
    <n v="66.98"/>
    <x v="10"/>
    <n v="213.77268889999999"/>
    <n v="7.343"/>
    <x v="0"/>
  </r>
  <r>
    <x v="2"/>
    <d v="2010-04-23T00:00:00"/>
    <n v="339976.65"/>
    <n v="0"/>
    <n v="67.87"/>
    <x v="11"/>
    <n v="213.72218520000001"/>
    <n v="7.343"/>
    <x v="0"/>
  </r>
  <r>
    <x v="2"/>
    <d v="2010-04-30T00:00:00"/>
    <n v="361248.39"/>
    <n v="0"/>
    <n v="70.239999999999995"/>
    <x v="12"/>
    <n v="213.67168150000001"/>
    <n v="7.343"/>
    <x v="0"/>
  </r>
  <r>
    <x v="2"/>
    <d v="2010-07-05T00:00:00"/>
    <n v="399323.86"/>
    <n v="0"/>
    <n v="73.47"/>
    <x v="134"/>
    <n v="213.6211778"/>
    <n v="7.343"/>
    <x v="0"/>
  </r>
  <r>
    <x v="2"/>
    <d v="2010-05-14T00:00:00"/>
    <n v="384357.94"/>
    <n v="0"/>
    <n v="77.180000000000007"/>
    <x v="14"/>
    <n v="213.61961389999999"/>
    <n v="7.343"/>
    <x v="0"/>
  </r>
  <r>
    <x v="2"/>
    <d v="2010-06-18T00:00:00"/>
    <n v="364076.85"/>
    <n v="0"/>
    <n v="83.52"/>
    <x v="19"/>
    <n v="214.78582589999999"/>
    <n v="7.343"/>
    <x v="0"/>
  </r>
  <r>
    <x v="2"/>
    <d v="2010-06-25T00:00:00"/>
    <n v="357346.48"/>
    <n v="0"/>
    <n v="83.79"/>
    <x v="20"/>
    <n v="214.6660741"/>
    <n v="7.343"/>
    <x v="0"/>
  </r>
  <r>
    <x v="2"/>
    <d v="2010-02-07T00:00:00"/>
    <n v="381151.72"/>
    <n v="0"/>
    <n v="82.2"/>
    <x v="21"/>
    <n v="214.54632219999999"/>
    <n v="7.3460000000000001"/>
    <x v="0"/>
  </r>
  <r>
    <x v="2"/>
    <d v="2010-07-16T00:00:00"/>
    <n v="352728.78"/>
    <n v="0"/>
    <n v="84.32"/>
    <x v="135"/>
    <n v="214.41764760000001"/>
    <n v="7.3460000000000001"/>
    <x v="0"/>
  </r>
  <r>
    <x v="2"/>
    <d v="2010-07-23T00:00:00"/>
    <n v="352864.49"/>
    <n v="0"/>
    <n v="83.32"/>
    <x v="22"/>
    <n v="214.55649679999999"/>
    <n v="7.3460000000000001"/>
    <x v="0"/>
  </r>
  <r>
    <x v="2"/>
    <d v="2010-06-08T00:00:00"/>
    <n v="402635.76"/>
    <n v="0"/>
    <n v="85.13"/>
    <x v="23"/>
    <n v="214.83419520000001"/>
    <n v="7.3460000000000001"/>
    <x v="0"/>
  </r>
  <r>
    <x v="2"/>
    <d v="2010-08-20T00:00:00"/>
    <n v="351728.21"/>
    <n v="0"/>
    <n v="88.02"/>
    <x v="25"/>
    <n v="214.9314191"/>
    <n v="7.3460000000000001"/>
    <x v="0"/>
  </r>
  <r>
    <x v="2"/>
    <d v="2010-08-27T00:00:00"/>
    <n v="362134.09"/>
    <n v="0"/>
    <n v="86.15"/>
    <x v="26"/>
    <n v="214.88979380000001"/>
    <n v="7.3460000000000001"/>
    <x v="0"/>
  </r>
  <r>
    <x v="2"/>
    <d v="2010-10-09T00:00:00"/>
    <n v="352260.97"/>
    <n v="1"/>
    <n v="80.84"/>
    <x v="136"/>
    <n v="214.8065431"/>
    <n v="7.3460000000000001"/>
    <x v="1"/>
  </r>
  <r>
    <x v="2"/>
    <d v="2010-09-17T00:00:00"/>
    <n v="363064.64"/>
    <n v="0"/>
    <n v="82.36"/>
    <x v="126"/>
    <n v="214.8322484"/>
    <n v="7.3460000000000001"/>
    <x v="0"/>
  </r>
  <r>
    <x v="2"/>
    <d v="2010-08-10T00:00:00"/>
    <n v="395107.35"/>
    <n v="0"/>
    <n v="66.989999999999995"/>
    <x v="28"/>
    <n v="215.060858"/>
    <n v="7.5640000000000001"/>
    <x v="0"/>
  </r>
  <r>
    <x v="2"/>
    <d v="2010-10-15T00:00:00"/>
    <n v="345584.39"/>
    <n v="0"/>
    <n v="69.709999999999994"/>
    <x v="6"/>
    <n v="215.12931140000001"/>
    <n v="7.5640000000000001"/>
    <x v="0"/>
  </r>
  <r>
    <x v="2"/>
    <d v="2010-05-11T00:00:00"/>
    <n v="423175.56"/>
    <n v="0"/>
    <n v="62.94"/>
    <x v="137"/>
    <n v="215.27654720000001"/>
    <n v="7.5640000000000001"/>
    <x v="0"/>
  </r>
  <r>
    <x v="2"/>
    <d v="2010-12-11T00:00:00"/>
    <n v="386635.03"/>
    <n v="0"/>
    <n v="62.79"/>
    <x v="30"/>
    <n v="215.32562580000001"/>
    <n v="7.5640000000000001"/>
    <x v="0"/>
  </r>
  <r>
    <x v="2"/>
    <d v="2010-11-26T00:00:00"/>
    <n v="565567.84"/>
    <n v="1"/>
    <n v="68.709999999999994"/>
    <x v="32"/>
    <n v="215.06140250000001"/>
    <n v="7.5640000000000001"/>
    <x v="1"/>
  </r>
  <r>
    <x v="2"/>
    <d v="2010-12-17T00:00:00"/>
    <n v="498159.39"/>
    <n v="0"/>
    <n v="52.2"/>
    <x v="35"/>
    <n v="214.70491899999999"/>
    <n v="7.5640000000000001"/>
    <x v="0"/>
  </r>
  <r>
    <x v="2"/>
    <d v="2010-12-24T00:00:00"/>
    <n v="605990.41"/>
    <n v="0"/>
    <n v="57.16"/>
    <x v="36"/>
    <n v="214.70178279999999"/>
    <n v="7.5640000000000001"/>
    <x v="0"/>
  </r>
  <r>
    <x v="2"/>
    <d v="2010-12-31T00:00:00"/>
    <n v="382677.76000000001"/>
    <n v="1"/>
    <n v="53.2"/>
    <x v="37"/>
    <n v="214.69864659999999"/>
    <n v="7.5640000000000001"/>
    <x v="1"/>
  </r>
  <r>
    <x v="2"/>
    <d v="2011-07-01T00:00:00"/>
    <n v="378241.34"/>
    <n v="0"/>
    <n v="53.35"/>
    <x v="38"/>
    <n v="214.69551039999999"/>
    <n v="7.5510000000000002"/>
    <x v="0"/>
  </r>
  <r>
    <x v="2"/>
    <d v="2011-01-14T00:00:00"/>
    <n v="381061.1"/>
    <n v="0"/>
    <n v="44.76"/>
    <x v="129"/>
    <n v="214.74707290000001"/>
    <n v="7.5510000000000002"/>
    <x v="0"/>
  </r>
  <r>
    <x v="2"/>
    <d v="2011-01-21T00:00:00"/>
    <n v="350876.7"/>
    <n v="0"/>
    <n v="50.74"/>
    <x v="39"/>
    <n v="215.12682749999999"/>
    <n v="7.5510000000000002"/>
    <x v="0"/>
  </r>
  <r>
    <x v="2"/>
    <d v="2011-01-28T00:00:00"/>
    <n v="364866.24"/>
    <n v="0"/>
    <n v="48.71"/>
    <x v="40"/>
    <n v="215.5065821"/>
    <n v="7.5510000000000002"/>
    <x v="0"/>
  </r>
  <r>
    <x v="2"/>
    <d v="2011-04-02T00:00:00"/>
    <n v="438516.53"/>
    <n v="0"/>
    <n v="45.95"/>
    <x v="130"/>
    <n v="215.88633669999999"/>
    <n v="7.5510000000000002"/>
    <x v="0"/>
  </r>
  <r>
    <x v="2"/>
    <d v="2011-11-02T00:00:00"/>
    <n v="430526.21"/>
    <n v="1"/>
    <n v="43.57"/>
    <x v="41"/>
    <n v="216.2660913"/>
    <n v="7.5510000000000002"/>
    <x v="1"/>
  </r>
  <r>
    <x v="2"/>
    <d v="2011-02-18T00:00:00"/>
    <n v="432782.1"/>
    <n v="0"/>
    <n v="61.58"/>
    <x v="42"/>
    <n v="216.58435710000001"/>
    <n v="7.5510000000000002"/>
    <x v="0"/>
  </r>
  <r>
    <x v="2"/>
    <d v="2011-02-25T00:00:00"/>
    <n v="397211.19"/>
    <n v="0"/>
    <n v="67.400000000000006"/>
    <x v="43"/>
    <n v="216.8780275"/>
    <n v="7.5510000000000002"/>
    <x v="0"/>
  </r>
  <r>
    <x v="2"/>
    <d v="2011-04-03T00:00:00"/>
    <n v="437084.51"/>
    <n v="0"/>
    <n v="65.11"/>
    <x v="44"/>
    <n v="217.1716979"/>
    <n v="7.5510000000000002"/>
    <x v="0"/>
  </r>
  <r>
    <x v="2"/>
    <d v="2011-11-03T00:00:00"/>
    <n v="404753.3"/>
    <n v="0"/>
    <n v="61.29"/>
    <x v="131"/>
    <n v="217.46536829999999"/>
    <n v="7.5510000000000002"/>
    <x v="0"/>
  </r>
  <r>
    <x v="2"/>
    <d v="2011-03-18T00:00:00"/>
    <n v="392109.51"/>
    <n v="0"/>
    <n v="69.47"/>
    <x v="45"/>
    <n v="217.7235226"/>
    <n v="7.5510000000000002"/>
    <x v="0"/>
  </r>
  <r>
    <x v="2"/>
    <d v="2011-03-25T00:00:00"/>
    <n v="380683.67"/>
    <n v="0"/>
    <n v="72.94"/>
    <x v="46"/>
    <n v="217.96747049999999"/>
    <n v="7.5510000000000002"/>
    <x v="0"/>
  </r>
  <r>
    <x v="2"/>
    <d v="2011-01-04T00:00:00"/>
    <n v="374556.08"/>
    <n v="0"/>
    <n v="68.760000000000005"/>
    <x v="59"/>
    <n v="218.21141840000001"/>
    <n v="7.5739999999999998"/>
    <x v="0"/>
  </r>
  <r>
    <x v="2"/>
    <d v="2011-08-04T00:00:00"/>
    <n v="384075.31"/>
    <n v="0"/>
    <n v="72.55"/>
    <x v="47"/>
    <n v="218.45536630000001"/>
    <n v="7.5739999999999998"/>
    <x v="0"/>
  </r>
  <r>
    <x v="2"/>
    <d v="2011-04-15T00:00:00"/>
    <n v="366250.69"/>
    <n v="0"/>
    <n v="75.88"/>
    <x v="48"/>
    <n v="218.67886419999999"/>
    <n v="7.5739999999999998"/>
    <x v="0"/>
  </r>
  <r>
    <x v="2"/>
    <d v="2011-04-22T00:00:00"/>
    <n v="391860.04"/>
    <n v="0"/>
    <n v="76.91"/>
    <x v="49"/>
    <n v="218.851237"/>
    <n v="7.5739999999999998"/>
    <x v="0"/>
  </r>
  <r>
    <x v="2"/>
    <d v="2011-04-29T00:00:00"/>
    <n v="367405.4"/>
    <n v="0"/>
    <n v="78.69"/>
    <x v="50"/>
    <n v="219.0236099"/>
    <n v="7.5739999999999998"/>
    <x v="0"/>
  </r>
  <r>
    <x v="2"/>
    <d v="2011-06-05T00:00:00"/>
    <n v="413042.12"/>
    <n v="0"/>
    <n v="69.45"/>
    <x v="51"/>
    <n v="219.1959827"/>
    <n v="7.5739999999999998"/>
    <x v="0"/>
  </r>
  <r>
    <x v="2"/>
    <d v="2011-05-13T00:00:00"/>
    <n v="386312.68"/>
    <n v="0"/>
    <n v="79.87"/>
    <x v="52"/>
    <n v="219.3683556"/>
    <n v="7.5739999999999998"/>
    <x v="0"/>
  </r>
  <r>
    <x v="2"/>
    <d v="2011-05-20T00:00:00"/>
    <n v="364603.13"/>
    <n v="0"/>
    <n v="75.790000000000006"/>
    <x v="53"/>
    <n v="219.127216"/>
    <n v="7.5739999999999998"/>
    <x v="0"/>
  </r>
  <r>
    <x v="2"/>
    <d v="2011-05-27T00:00:00"/>
    <n v="369350.6"/>
    <n v="0"/>
    <n v="84.41"/>
    <x v="54"/>
    <n v="218.8860765"/>
    <n v="7.5739999999999998"/>
    <x v="0"/>
  </r>
  <r>
    <x v="2"/>
    <d v="2011-03-06T00:00:00"/>
    <n v="394507.84"/>
    <n v="0"/>
    <n v="84.29"/>
    <x v="55"/>
    <n v="218.6449369"/>
    <n v="7.5739999999999998"/>
    <x v="0"/>
  </r>
  <r>
    <x v="2"/>
    <d v="2011-10-06T00:00:00"/>
    <n v="391638.75"/>
    <n v="0"/>
    <n v="84.84"/>
    <x v="56"/>
    <n v="218.4037974"/>
    <n v="7.5739999999999998"/>
    <x v="0"/>
  </r>
  <r>
    <x v="2"/>
    <d v="2011-06-17T00:00:00"/>
    <n v="403423.34"/>
    <n v="0"/>
    <n v="86.96"/>
    <x v="57"/>
    <n v="218.35517479999999"/>
    <n v="7.5739999999999998"/>
    <x v="0"/>
  </r>
  <r>
    <x v="2"/>
    <d v="2011-06-24T00:00:00"/>
    <n v="385520.71"/>
    <n v="0"/>
    <n v="84.94"/>
    <x v="58"/>
    <n v="218.45094"/>
    <n v="7.5739999999999998"/>
    <x v="0"/>
  </r>
  <r>
    <x v="2"/>
    <d v="2011-01-07T00:00:00"/>
    <n v="368962.72"/>
    <n v="0"/>
    <n v="85.1"/>
    <x v="59"/>
    <n v="218.54670519999999"/>
    <n v="7.5670000000000002"/>
    <x v="0"/>
  </r>
  <r>
    <x v="2"/>
    <d v="2011-08-07T00:00:00"/>
    <n v="395146.23999999999"/>
    <n v="0"/>
    <n v="85.38"/>
    <x v="60"/>
    <n v="218.64247040000001"/>
    <n v="7.5670000000000002"/>
    <x v="0"/>
  </r>
  <r>
    <x v="2"/>
    <d v="2011-07-15T00:00:00"/>
    <n v="373454.33"/>
    <n v="0"/>
    <n v="87.14"/>
    <x v="61"/>
    <n v="218.72752159999999"/>
    <n v="7.5670000000000002"/>
    <x v="0"/>
  </r>
  <r>
    <x v="2"/>
    <d v="2011-07-22T00:00:00"/>
    <n v="360617.37"/>
    <n v="0"/>
    <n v="86.19"/>
    <x v="62"/>
    <n v="218.78578809999999"/>
    <n v="7.5670000000000002"/>
    <x v="0"/>
  </r>
  <r>
    <x v="2"/>
    <d v="2011-07-29T00:00:00"/>
    <n v="345381.29"/>
    <n v="0"/>
    <n v="88.07"/>
    <x v="63"/>
    <n v="218.8440545"/>
    <n v="7.5670000000000002"/>
    <x v="0"/>
  </r>
  <r>
    <x v="2"/>
    <d v="2011-05-08T00:00:00"/>
    <n v="409981.25"/>
    <n v="0"/>
    <n v="88.45"/>
    <x v="64"/>
    <n v="218.90232090000001"/>
    <n v="7.5670000000000002"/>
    <x v="0"/>
  </r>
  <r>
    <x v="2"/>
    <d v="2011-12-08T00:00:00"/>
    <n v="380376.85"/>
    <n v="0"/>
    <n v="88.88"/>
    <x v="65"/>
    <n v="218.96058729999999"/>
    <n v="7.5670000000000002"/>
    <x v="0"/>
  </r>
  <r>
    <x v="2"/>
    <d v="2011-08-19T00:00:00"/>
    <n v="379716.91"/>
    <n v="0"/>
    <n v="88.44"/>
    <x v="66"/>
    <n v="219.02327099999999"/>
    <n v="7.5670000000000002"/>
    <x v="0"/>
  </r>
  <r>
    <x v="2"/>
    <d v="2011-08-26T00:00:00"/>
    <n v="366367.55"/>
    <n v="0"/>
    <n v="87.67"/>
    <x v="67"/>
    <n v="219.08669080000001"/>
    <n v="7.5670000000000002"/>
    <x v="0"/>
  </r>
  <r>
    <x v="2"/>
    <d v="2011-02-09T00:00:00"/>
    <n v="375988.69"/>
    <n v="0"/>
    <n v="89.12"/>
    <x v="68"/>
    <n v="219.1501106"/>
    <n v="7.5670000000000002"/>
    <x v="0"/>
  </r>
  <r>
    <x v="2"/>
    <d v="2011-09-09T00:00:00"/>
    <n v="377347.49"/>
    <n v="1"/>
    <n v="81.72"/>
    <x v="69"/>
    <n v="219.21353049999999"/>
    <n v="7.5670000000000002"/>
    <x v="1"/>
  </r>
  <r>
    <x v="2"/>
    <d v="2011-09-16T00:00:00"/>
    <n v="375629.51"/>
    <n v="0"/>
    <n v="83.63"/>
    <x v="70"/>
    <n v="219.3972867"/>
    <n v="7.5670000000000002"/>
    <x v="0"/>
  </r>
  <r>
    <x v="2"/>
    <d v="2011-09-23T00:00:00"/>
    <n v="365248.94"/>
    <n v="0"/>
    <n v="80.19"/>
    <x v="71"/>
    <n v="219.7414914"/>
    <n v="7.5670000000000002"/>
    <x v="0"/>
  </r>
  <r>
    <x v="2"/>
    <d v="2011-09-30T00:00:00"/>
    <n v="368477.93"/>
    <n v="0"/>
    <n v="82.58"/>
    <x v="72"/>
    <n v="220.08569600000001"/>
    <n v="7.5670000000000002"/>
    <x v="0"/>
  </r>
  <r>
    <x v="2"/>
    <d v="2011-10-14T00:00:00"/>
    <n v="368282.57"/>
    <n v="0"/>
    <n v="73.75"/>
    <x v="74"/>
    <n v="220.74861670000001"/>
    <n v="7.1970000000000001"/>
    <x v="0"/>
  </r>
  <r>
    <x v="2"/>
    <d v="2011-10-21T00:00:00"/>
    <n v="394976.36"/>
    <n v="0"/>
    <n v="69.03"/>
    <x v="75"/>
    <n v="220.9144005"/>
    <n v="7.1970000000000001"/>
    <x v="0"/>
  </r>
  <r>
    <x v="2"/>
    <d v="2011-10-28T00:00:00"/>
    <n v="389540.62"/>
    <n v="0"/>
    <n v="71.040000000000006"/>
    <x v="132"/>
    <n v="221.08018419999999"/>
    <n v="7.1970000000000001"/>
    <x v="0"/>
  </r>
  <r>
    <x v="2"/>
    <d v="2011-04-11T00:00:00"/>
    <n v="459443.22"/>
    <n v="0"/>
    <n v="59.31"/>
    <x v="76"/>
    <n v="221.245968"/>
    <n v="7.1970000000000001"/>
    <x v="0"/>
  </r>
  <r>
    <x v="2"/>
    <d v="2011-11-11T00:00:00"/>
    <n v="407764.25"/>
    <n v="0"/>
    <n v="61.7"/>
    <x v="77"/>
    <n v="221.4117517"/>
    <n v="7.1970000000000001"/>
    <x v="0"/>
  </r>
  <r>
    <x v="2"/>
    <d v="2011-11-18T00:00:00"/>
    <n v="398838.97"/>
    <n v="0"/>
    <n v="63.91"/>
    <x v="133"/>
    <n v="221.64328520000001"/>
    <n v="7.1970000000000001"/>
    <x v="0"/>
  </r>
  <r>
    <x v="2"/>
    <d v="2011-11-25T00:00:00"/>
    <n v="556925.18999999994"/>
    <n v="1"/>
    <n v="68"/>
    <x v="78"/>
    <n v="221.9011185"/>
    <n v="7.1970000000000001"/>
    <x v="1"/>
  </r>
  <r>
    <x v="2"/>
    <d v="2011-02-12T00:00:00"/>
    <n v="472511.32"/>
    <n v="0"/>
    <n v="54.97"/>
    <x v="79"/>
    <n v="222.15895190000001"/>
    <n v="7.1970000000000001"/>
    <x v="0"/>
  </r>
  <r>
    <x v="2"/>
    <d v="2011-09-12T00:00:00"/>
    <n v="468772.8"/>
    <n v="0"/>
    <n v="49.26"/>
    <x v="80"/>
    <n v="222.41678519999999"/>
    <n v="7.1970000000000001"/>
    <x v="0"/>
  </r>
  <r>
    <x v="2"/>
    <d v="2011-12-16T00:00:00"/>
    <n v="510747.62"/>
    <n v="0"/>
    <n v="57.95"/>
    <x v="81"/>
    <n v="222.64264180000001"/>
    <n v="7.1970000000000001"/>
    <x v="0"/>
  </r>
  <r>
    <x v="2"/>
    <d v="2011-12-23T00:00:00"/>
    <n v="551221.21"/>
    <n v="0"/>
    <n v="53.41"/>
    <x v="82"/>
    <n v="222.82586280000001"/>
    <n v="7.1970000000000001"/>
    <x v="0"/>
  </r>
  <r>
    <x v="2"/>
    <d v="2011-12-30T00:00:00"/>
    <n v="410553.88"/>
    <n v="1"/>
    <n v="48.29"/>
    <x v="83"/>
    <n v="223.00908390000001"/>
    <n v="7.1970000000000001"/>
    <x v="1"/>
  </r>
  <r>
    <x v="2"/>
    <d v="2012-06-01T00:00:00"/>
    <n v="398178.21"/>
    <n v="0"/>
    <n v="52.42"/>
    <x v="84"/>
    <n v="223.19230490000001"/>
    <n v="6.8330000000000002"/>
    <x v="0"/>
  </r>
  <r>
    <x v="2"/>
    <d v="2012-01-13T00:00:00"/>
    <n v="367438.62"/>
    <n v="0"/>
    <n v="51.86"/>
    <x v="85"/>
    <n v="223.37552590000001"/>
    <n v="6.8330000000000002"/>
    <x v="0"/>
  </r>
  <r>
    <x v="2"/>
    <d v="2012-01-20T00:00:00"/>
    <n v="365818.61"/>
    <n v="0"/>
    <n v="56.2"/>
    <x v="86"/>
    <n v="223.47005519999999"/>
    <n v="6.8330000000000002"/>
    <x v="0"/>
  </r>
  <r>
    <x v="2"/>
    <d v="2012-01-27T00:00:00"/>
    <n v="349518.1"/>
    <n v="0"/>
    <n v="58.06"/>
    <x v="87"/>
    <n v="223.5645845"/>
    <n v="6.8330000000000002"/>
    <x v="0"/>
  </r>
  <r>
    <x v="2"/>
    <d v="2012-03-02T00:00:00"/>
    <n v="424960.66"/>
    <n v="0"/>
    <n v="59.33"/>
    <x v="88"/>
    <n v="223.65911370000001"/>
    <n v="6.8330000000000002"/>
    <x v="0"/>
  </r>
  <r>
    <x v="2"/>
    <d v="2012-10-02T00:00:00"/>
    <n v="473292.47"/>
    <n v="1"/>
    <n v="51.65"/>
    <x v="89"/>
    <n v="223.75364300000001"/>
    <n v="6.8330000000000002"/>
    <x v="1"/>
  </r>
  <r>
    <x v="2"/>
    <d v="2012-02-17T00:00:00"/>
    <n v="475591.08"/>
    <n v="0"/>
    <n v="52.39"/>
    <x v="90"/>
    <n v="223.9170153"/>
    <n v="6.8330000000000002"/>
    <x v="0"/>
  </r>
  <r>
    <x v="2"/>
    <d v="2012-02-24T00:00:00"/>
    <n v="418925.47"/>
    <n v="0"/>
    <n v="60.12"/>
    <x v="91"/>
    <n v="224.13201989999999"/>
    <n v="6.8330000000000002"/>
    <x v="0"/>
  </r>
  <r>
    <x v="2"/>
    <d v="2012-02-03T00:00:00"/>
    <n v="469752.56"/>
    <n v="0"/>
    <n v="61.65"/>
    <x v="92"/>
    <n v="224.3470245"/>
    <n v="6.8330000000000002"/>
    <x v="0"/>
  </r>
  <r>
    <x v="2"/>
    <d v="2012-09-03T00:00:00"/>
    <n v="445162.05"/>
    <n v="0"/>
    <n v="60.71"/>
    <x v="93"/>
    <n v="224.56202909999999"/>
    <n v="6.8330000000000002"/>
    <x v="0"/>
  </r>
  <r>
    <x v="2"/>
    <d v="2012-03-16T00:00:00"/>
    <n v="411775.8"/>
    <n v="0"/>
    <n v="64"/>
    <x v="94"/>
    <n v="224.7166953"/>
    <n v="6.8330000000000002"/>
    <x v="0"/>
  </r>
  <r>
    <x v="2"/>
    <d v="2012-03-30T00:00:00"/>
    <n v="407488.84"/>
    <n v="0"/>
    <n v="69.36"/>
    <x v="96"/>
    <n v="224.86512540000001"/>
    <n v="6.8330000000000002"/>
    <x v="0"/>
  </r>
  <r>
    <x v="2"/>
    <d v="2012-06-04T00:00:00"/>
    <n v="503232.13"/>
    <n v="0"/>
    <n v="73.010000000000005"/>
    <x v="97"/>
    <n v="224.93934049999999"/>
    <n v="6.6639999999999997"/>
    <x v="0"/>
  </r>
  <r>
    <x v="0"/>
    <d v="2012-03-08T00:00:00"/>
    <n v="1631135.79"/>
    <n v="0"/>
    <n v="86.11"/>
    <x v="112"/>
    <n v="221.94986420000001"/>
    <n v="6.9080000000000004"/>
    <x v="0"/>
  </r>
  <r>
    <x v="0"/>
    <d v="2012-10-08T00:00:00"/>
    <n v="1592409.97"/>
    <n v="0"/>
    <n v="85.05"/>
    <x v="113"/>
    <n v="221.95843289999999"/>
    <n v="6.9080000000000004"/>
    <x v="0"/>
  </r>
  <r>
    <x v="0"/>
    <d v="2012-08-17T00:00:00"/>
    <n v="1597868.05"/>
    <n v="0"/>
    <n v="84.85"/>
    <x v="114"/>
    <n v="222.0384109"/>
    <n v="6.9080000000000004"/>
    <x v="0"/>
  </r>
  <r>
    <x v="0"/>
    <d v="2012-08-24T00:00:00"/>
    <n v="1494122.38"/>
    <n v="0"/>
    <n v="77.66"/>
    <x v="115"/>
    <n v="222.17194570000001"/>
    <n v="6.9080000000000004"/>
    <x v="0"/>
  </r>
  <r>
    <x v="0"/>
    <d v="2012-08-31T00:00:00"/>
    <n v="1582083.4"/>
    <n v="0"/>
    <n v="80.489999999999995"/>
    <x v="65"/>
    <n v="222.30548049999999"/>
    <n v="6.9080000000000004"/>
    <x v="0"/>
  </r>
  <r>
    <x v="0"/>
    <d v="2012-07-09T00:00:00"/>
    <n v="1661767.33"/>
    <n v="1"/>
    <n v="83.96"/>
    <x v="116"/>
    <n v="222.43901529999999"/>
    <n v="6.9080000000000004"/>
    <x v="1"/>
  </r>
  <r>
    <x v="0"/>
    <d v="2012-09-14T00:00:00"/>
    <n v="1517428.87"/>
    <n v="0"/>
    <n v="74.97"/>
    <x v="117"/>
    <n v="222.58201930000001"/>
    <n v="6.9080000000000004"/>
    <x v="0"/>
  </r>
  <r>
    <x v="0"/>
    <d v="2012-09-21T00:00:00"/>
    <n v="1506126.06"/>
    <n v="0"/>
    <n v="69.87"/>
    <x v="118"/>
    <n v="222.78183859999999"/>
    <n v="6.9080000000000004"/>
    <x v="0"/>
  </r>
  <r>
    <x v="0"/>
    <d v="2012-09-28T00:00:00"/>
    <n v="1437059.26"/>
    <n v="0"/>
    <n v="76.08"/>
    <x v="119"/>
    <n v="222.98165789999999"/>
    <n v="6.9080000000000004"/>
    <x v="0"/>
  </r>
  <r>
    <x v="0"/>
    <d v="2012-05-10T00:00:00"/>
    <n v="1670785.97"/>
    <n v="0"/>
    <n v="68.55"/>
    <x v="120"/>
    <n v="223.18147719999999"/>
    <n v="6.5730000000000004"/>
    <x v="0"/>
  </r>
  <r>
    <x v="0"/>
    <d v="2012-12-10T00:00:00"/>
    <n v="1573072.81"/>
    <n v="0"/>
    <n v="62.99"/>
    <x v="121"/>
    <n v="223.38129649999999"/>
    <n v="6.5730000000000004"/>
    <x v="0"/>
  </r>
  <r>
    <x v="1"/>
    <d v="2010-08-10T00:00:00"/>
    <n v="1849921.44"/>
    <n v="0"/>
    <n v="63.19"/>
    <x v="28"/>
    <n v="211.4044906"/>
    <n v="8.1630000000000003"/>
    <x v="0"/>
  </r>
  <r>
    <x v="1"/>
    <d v="2010-10-15T00:00:00"/>
    <n v="1794355.49"/>
    <n v="0"/>
    <n v="65.8"/>
    <x v="6"/>
    <n v="211.47132859999999"/>
    <n v="8.1630000000000003"/>
    <x v="0"/>
  </r>
  <r>
    <x v="1"/>
    <d v="2010-10-22T00:00:00"/>
    <n v="1737947.64"/>
    <n v="0"/>
    <n v="68.5"/>
    <x v="29"/>
    <n v="211.51872080000001"/>
    <n v="8.1630000000000003"/>
    <x v="0"/>
  </r>
  <r>
    <x v="1"/>
    <d v="2010-10-29T00:00:00"/>
    <n v="1802755.11"/>
    <n v="0"/>
    <n v="66.239999999999995"/>
    <x v="128"/>
    <n v="211.5661131"/>
    <n v="8.1630000000000003"/>
    <x v="0"/>
  </r>
  <r>
    <x v="1"/>
    <d v="2010-05-11T00:00:00"/>
    <n v="1939061.41"/>
    <n v="0"/>
    <n v="57.85"/>
    <x v="137"/>
    <n v="211.61350530000001"/>
    <n v="8.1630000000000003"/>
    <x v="0"/>
  </r>
  <r>
    <x v="1"/>
    <d v="2010-12-11T00:00:00"/>
    <n v="1916812.74"/>
    <n v="0"/>
    <n v="59.69"/>
    <x v="30"/>
    <n v="211.6608975"/>
    <n v="8.1630000000000003"/>
    <x v="0"/>
  </r>
  <r>
    <x v="1"/>
    <d v="2010-11-19T00:00:00"/>
    <n v="1956739.17"/>
    <n v="0"/>
    <n v="50.81"/>
    <x v="31"/>
    <n v="211.54703040000001"/>
    <n v="8.1630000000000003"/>
    <x v="0"/>
  </r>
  <r>
    <x v="1"/>
    <d v="2010-11-26T00:00:00"/>
    <n v="2658725.29"/>
    <n v="1"/>
    <n v="62.98"/>
    <x v="32"/>
    <n v="211.40628670000001"/>
    <n v="8.1630000000000003"/>
    <x v="1"/>
  </r>
  <r>
    <x v="1"/>
    <d v="2010-03-12T00:00:00"/>
    <n v="2015781.27"/>
    <n v="0"/>
    <n v="49.33"/>
    <x v="33"/>
    <n v="211.26554300000001"/>
    <n v="8.1630000000000003"/>
    <x v="0"/>
  </r>
  <r>
    <x v="1"/>
    <d v="2010-10-12T00:00:00"/>
    <n v="2378726.5499999998"/>
    <n v="0"/>
    <n v="45.5"/>
    <x v="34"/>
    <n v="211.12479930000001"/>
    <n v="8.1630000000000003"/>
    <x v="0"/>
  </r>
  <r>
    <x v="1"/>
    <d v="2010-12-17T00:00:00"/>
    <n v="2609166.75"/>
    <n v="0"/>
    <n v="47.55"/>
    <x v="35"/>
    <n v="211.06454579999999"/>
    <n v="8.1630000000000003"/>
    <x v="0"/>
  </r>
  <r>
    <x v="2"/>
    <d v="2010-06-18T00:00:00"/>
    <n v="364076.85"/>
    <n v="0"/>
    <n v="83.52"/>
    <x v="19"/>
    <n v="214.78582589999999"/>
    <n v="7.343"/>
    <x v="0"/>
  </r>
  <r>
    <x v="2"/>
    <d v="2010-06-25T00:00:00"/>
    <n v="357346.48"/>
    <n v="0"/>
    <n v="83.79"/>
    <x v="20"/>
    <n v="214.6660741"/>
    <n v="7.343"/>
    <x v="0"/>
  </r>
  <r>
    <x v="2"/>
    <d v="2010-02-07T00:00:00"/>
    <n v="381151.72"/>
    <n v="0"/>
    <n v="82.2"/>
    <x v="21"/>
    <n v="214.54632219999999"/>
    <n v="7.3460000000000001"/>
    <x v="0"/>
  </r>
  <r>
    <x v="2"/>
    <d v="2010-09-07T00:00:00"/>
    <n v="349214.18"/>
    <n v="0"/>
    <n v="81.75"/>
    <x v="123"/>
    <n v="214.4265704"/>
    <n v="7.3460000000000001"/>
    <x v="0"/>
  </r>
  <r>
    <x v="2"/>
    <d v="2010-07-16T00:00:00"/>
    <n v="352728.78"/>
    <n v="0"/>
    <n v="84.32"/>
    <x v="135"/>
    <n v="214.41764760000001"/>
    <n v="7.3460000000000001"/>
    <x v="0"/>
  </r>
  <r>
    <x v="2"/>
    <d v="2010-07-23T00:00:00"/>
    <n v="352864.49"/>
    <n v="0"/>
    <n v="83.32"/>
    <x v="22"/>
    <n v="214.55649679999999"/>
    <n v="7.3460000000000001"/>
    <x v="0"/>
  </r>
  <r>
    <x v="2"/>
    <d v="2010-07-30T00:00:00"/>
    <n v="347955.05"/>
    <n v="0"/>
    <n v="82.04"/>
    <x v="124"/>
    <n v="214.695346"/>
    <n v="7.3460000000000001"/>
    <x v="0"/>
  </r>
  <r>
    <x v="2"/>
    <d v="2010-06-08T00:00:00"/>
    <n v="402635.76"/>
    <n v="0"/>
    <n v="85.13"/>
    <x v="23"/>
    <n v="214.83419520000001"/>
    <n v="7.3460000000000001"/>
    <x v="0"/>
  </r>
  <r>
    <x v="2"/>
    <d v="2010-08-13T00:00:00"/>
    <n v="339597.38"/>
    <n v="0"/>
    <n v="86.74"/>
    <x v="24"/>
    <n v="214.97304439999999"/>
    <n v="7.3460000000000001"/>
    <x v="0"/>
  </r>
  <r>
    <x v="2"/>
    <d v="2010-08-20T00:00:00"/>
    <n v="351728.21"/>
    <n v="0"/>
    <n v="88.02"/>
    <x v="25"/>
    <n v="214.9314191"/>
    <n v="7.3460000000000001"/>
    <x v="0"/>
  </r>
  <r>
    <x v="2"/>
    <d v="2010-08-27T00:00:00"/>
    <n v="362134.09"/>
    <n v="0"/>
    <n v="86.15"/>
    <x v="26"/>
    <n v="214.88979380000001"/>
    <n v="7.346000000000000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
  <r>
    <x v="0"/>
    <x v="0"/>
    <n v="1643690.9"/>
    <n v="0"/>
    <n v="42.31"/>
    <x v="0"/>
    <n v="211.0963582"/>
    <n v="8.1059999999999999"/>
    <x v="0"/>
  </r>
  <r>
    <x v="0"/>
    <x v="1"/>
    <n v="1641957.44"/>
    <n v="1"/>
    <n v="38.51"/>
    <x v="1"/>
    <n v="211.2421698"/>
    <n v="8.1059999999999999"/>
    <x v="1"/>
  </r>
  <r>
    <x v="0"/>
    <x v="2"/>
    <n v="1611968.17"/>
    <n v="0"/>
    <n v="39.93"/>
    <x v="2"/>
    <n v="211.2891429"/>
    <n v="8.1059999999999999"/>
    <x v="0"/>
  </r>
  <r>
    <x v="0"/>
    <x v="3"/>
    <n v="1409727.59"/>
    <n v="0"/>
    <n v="46.63"/>
    <x v="3"/>
    <n v="211.31964289999999"/>
    <n v="8.1059999999999999"/>
    <x v="0"/>
  </r>
  <r>
    <x v="0"/>
    <x v="4"/>
    <n v="1554806.68"/>
    <n v="0"/>
    <n v="46.5"/>
    <x v="4"/>
    <n v="211.35014290000001"/>
    <n v="8.1059999999999999"/>
    <x v="0"/>
  </r>
  <r>
    <x v="0"/>
    <x v="5"/>
    <n v="1439541.59"/>
    <n v="0"/>
    <n v="57.79"/>
    <x v="5"/>
    <n v="211.3806429"/>
    <n v="8.1059999999999999"/>
    <x v="0"/>
  </r>
  <r>
    <x v="0"/>
    <x v="6"/>
    <n v="1472515.79"/>
    <n v="0"/>
    <n v="54.58"/>
    <x v="6"/>
    <n v="211.21563499999999"/>
    <n v="8.1059999999999999"/>
    <x v="0"/>
  </r>
  <r>
    <x v="0"/>
    <x v="7"/>
    <n v="1404429.92"/>
    <n v="0"/>
    <n v="51.45"/>
    <x v="7"/>
    <n v="211.01804240000001"/>
    <n v="8.1059999999999999"/>
    <x v="0"/>
  </r>
  <r>
    <x v="0"/>
    <x v="8"/>
    <n v="1594968.28"/>
    <n v="0"/>
    <n v="62.27"/>
    <x v="8"/>
    <n v="210.8204499"/>
    <n v="7.8079999999999998"/>
    <x v="0"/>
  </r>
  <r>
    <x v="0"/>
    <x v="9"/>
    <n v="1545418.53"/>
    <n v="0"/>
    <n v="65.86"/>
    <x v="9"/>
    <n v="210.62285739999999"/>
    <n v="7.8079999999999998"/>
    <x v="0"/>
  </r>
  <r>
    <x v="0"/>
    <x v="10"/>
    <n v="1466058.28"/>
    <n v="0"/>
    <n v="66.319999999999993"/>
    <x v="10"/>
    <n v="210.48869999999999"/>
    <n v="7.8079999999999998"/>
    <x v="0"/>
  </r>
  <r>
    <x v="0"/>
    <x v="11"/>
    <n v="1391256.12"/>
    <n v="0"/>
    <n v="64.84"/>
    <x v="11"/>
    <n v="210.43912280000001"/>
    <n v="7.8079999999999998"/>
    <x v="0"/>
  </r>
  <r>
    <x v="0"/>
    <x v="12"/>
    <n v="1425100.71"/>
    <n v="0"/>
    <n v="67.41"/>
    <x v="12"/>
    <n v="210.38954559999999"/>
    <n v="7.8079999999999998"/>
    <x v="0"/>
  </r>
  <r>
    <x v="0"/>
    <x v="13"/>
    <n v="1603955.12"/>
    <n v="0"/>
    <n v="72.55"/>
    <x v="13"/>
    <n v="210.3399684"/>
    <n v="7.8079999999999998"/>
    <x v="0"/>
  </r>
  <r>
    <x v="0"/>
    <x v="14"/>
    <n v="1494251.5"/>
    <n v="0"/>
    <n v="74.78"/>
    <x v="14"/>
    <n v="210.33742609999999"/>
    <n v="7.8079999999999998"/>
    <x v="0"/>
  </r>
  <r>
    <x v="0"/>
    <x v="15"/>
    <n v="1399662.07"/>
    <n v="0"/>
    <n v="76.44"/>
    <x v="15"/>
    <n v="210.61709339999999"/>
    <n v="7.8079999999999998"/>
    <x v="0"/>
  </r>
  <r>
    <x v="0"/>
    <x v="16"/>
    <n v="1432069.95"/>
    <n v="0"/>
    <n v="80.44"/>
    <x v="16"/>
    <n v="210.89676059999999"/>
    <n v="7.8079999999999998"/>
    <x v="0"/>
  </r>
  <r>
    <x v="0"/>
    <x v="17"/>
    <n v="1615524.71"/>
    <n v="0"/>
    <n v="80.69"/>
    <x v="17"/>
    <n v="211.1764278"/>
    <n v="7.8079999999999998"/>
    <x v="0"/>
  </r>
  <r>
    <x v="0"/>
    <x v="18"/>
    <n v="1542561.09"/>
    <n v="0"/>
    <n v="80.430000000000007"/>
    <x v="18"/>
    <n v="211.4560951"/>
    <n v="7.8079999999999998"/>
    <x v="0"/>
  </r>
  <r>
    <x v="0"/>
    <x v="19"/>
    <n v="1503284.06"/>
    <n v="0"/>
    <n v="84.11"/>
    <x v="19"/>
    <n v="211.45377189999999"/>
    <n v="7.8079999999999998"/>
    <x v="0"/>
  </r>
  <r>
    <x v="0"/>
    <x v="20"/>
    <n v="1422711.6"/>
    <n v="0"/>
    <n v="84.34"/>
    <x v="20"/>
    <n v="211.33865259999999"/>
    <n v="7.8079999999999998"/>
    <x v="0"/>
  </r>
  <r>
    <x v="0"/>
    <x v="21"/>
    <n v="1492418.14"/>
    <n v="0"/>
    <n v="80.91"/>
    <x v="21"/>
    <n v="211.22353330000001"/>
    <n v="7.7869999999999999"/>
    <x v="0"/>
  </r>
  <r>
    <x v="0"/>
    <x v="22"/>
    <n v="1385065.2"/>
    <n v="0"/>
    <n v="83.36"/>
    <x v="22"/>
    <n v="211.2351443"/>
    <n v="7.7869999999999999"/>
    <x v="0"/>
  </r>
  <r>
    <x v="0"/>
    <x v="23"/>
    <n v="1605491.78"/>
    <n v="0"/>
    <n v="87.16"/>
    <x v="23"/>
    <n v="211.50466209999999"/>
    <n v="7.7869999999999999"/>
    <x v="0"/>
  </r>
  <r>
    <x v="0"/>
    <x v="24"/>
    <n v="1508237.76"/>
    <n v="0"/>
    <n v="87"/>
    <x v="24"/>
    <n v="211.63942109999999"/>
    <n v="7.7869999999999999"/>
    <x v="0"/>
  </r>
  <r>
    <x v="0"/>
    <x v="25"/>
    <n v="1513080.49"/>
    <n v="0"/>
    <n v="86.65"/>
    <x v="25"/>
    <n v="211.60336330000001"/>
    <n v="7.7869999999999999"/>
    <x v="0"/>
  </r>
  <r>
    <x v="0"/>
    <x v="26"/>
    <n v="1449142.92"/>
    <n v="0"/>
    <n v="85.22"/>
    <x v="26"/>
    <n v="211.5673056"/>
    <n v="7.7869999999999999"/>
    <x v="0"/>
  </r>
  <r>
    <x v="0"/>
    <x v="27"/>
    <n v="1351791.03"/>
    <n v="0"/>
    <n v="80.94"/>
    <x v="27"/>
    <n v="211.5972246"/>
    <n v="7.7869999999999999"/>
    <x v="0"/>
  </r>
  <r>
    <x v="0"/>
    <x v="28"/>
    <n v="1508239.93"/>
    <n v="0"/>
    <n v="63.93"/>
    <x v="28"/>
    <n v="211.74675439999999"/>
    <n v="7.8380000000000001"/>
    <x v="0"/>
  </r>
  <r>
    <x v="0"/>
    <x v="29"/>
    <n v="1459409.1"/>
    <n v="0"/>
    <n v="67.180000000000007"/>
    <x v="6"/>
    <n v="211.81374360000001"/>
    <n v="7.8380000000000001"/>
    <x v="0"/>
  </r>
  <r>
    <x v="0"/>
    <x v="30"/>
    <n v="1345454"/>
    <n v="0"/>
    <n v="69.86"/>
    <x v="29"/>
    <n v="211.8612937"/>
    <n v="7.8380000000000001"/>
    <x v="0"/>
  </r>
  <r>
    <x v="0"/>
    <x v="31"/>
    <n v="1494479.49"/>
    <n v="0"/>
    <n v="59.61"/>
    <x v="30"/>
    <n v="212.00394399999999"/>
    <n v="7.8380000000000001"/>
    <x v="0"/>
  </r>
  <r>
    <x v="0"/>
    <x v="32"/>
    <n v="1483784.18"/>
    <n v="0"/>
    <n v="51.41"/>
    <x v="31"/>
    <n v="211.8896737"/>
    <n v="7.8380000000000001"/>
    <x v="0"/>
  </r>
  <r>
    <x v="0"/>
    <x v="33"/>
    <n v="1955624.11"/>
    <n v="1"/>
    <n v="64.52"/>
    <x v="32"/>
    <n v="211.74843329999999"/>
    <n v="7.8380000000000001"/>
    <x v="1"/>
  </r>
  <r>
    <x v="0"/>
    <x v="34"/>
    <n v="1548033.78"/>
    <n v="0"/>
    <n v="49.27"/>
    <x v="33"/>
    <n v="211.607193"/>
    <n v="7.8380000000000001"/>
    <x v="0"/>
  </r>
  <r>
    <x v="0"/>
    <x v="35"/>
    <n v="1682614.26"/>
    <n v="0"/>
    <n v="46.33"/>
    <x v="34"/>
    <n v="211.46595260000001"/>
    <n v="7.8380000000000001"/>
    <x v="0"/>
  </r>
  <r>
    <x v="0"/>
    <x v="36"/>
    <n v="1891034.93"/>
    <n v="0"/>
    <n v="49.84"/>
    <x v="35"/>
    <n v="211.40531240000001"/>
    <n v="7.8380000000000001"/>
    <x v="0"/>
  </r>
  <r>
    <x v="0"/>
    <x v="37"/>
    <n v="2387950.2000000002"/>
    <n v="0"/>
    <n v="52.33"/>
    <x v="36"/>
    <n v="211.40512219999999"/>
    <n v="7.8380000000000001"/>
    <x v="0"/>
  </r>
  <r>
    <x v="0"/>
    <x v="38"/>
    <n v="1367320.01"/>
    <n v="1"/>
    <n v="48.43"/>
    <x v="37"/>
    <n v="211.4049321"/>
    <n v="7.8380000000000001"/>
    <x v="1"/>
  </r>
  <r>
    <x v="0"/>
    <x v="39"/>
    <n v="1444732.28"/>
    <n v="0"/>
    <n v="48.27"/>
    <x v="38"/>
    <n v="211.4047419"/>
    <n v="7.742"/>
    <x v="0"/>
  </r>
  <r>
    <x v="0"/>
    <x v="40"/>
    <n v="1327405.42"/>
    <n v="0"/>
    <n v="44.04"/>
    <x v="39"/>
    <n v="211.82723429999999"/>
    <n v="7.742"/>
    <x v="0"/>
  </r>
  <r>
    <x v="0"/>
    <x v="41"/>
    <n v="1316899.31"/>
    <n v="0"/>
    <n v="43.83"/>
    <x v="40"/>
    <n v="212.19705769999999"/>
    <n v="7.742"/>
    <x v="0"/>
  </r>
  <r>
    <x v="0"/>
    <x v="42"/>
    <n v="1649614.93"/>
    <n v="1"/>
    <n v="36.39"/>
    <x v="41"/>
    <n v="212.93670460000001"/>
    <n v="7.742"/>
    <x v="1"/>
  </r>
  <r>
    <x v="0"/>
    <x v="43"/>
    <n v="1686842.78"/>
    <n v="0"/>
    <n v="57.36"/>
    <x v="42"/>
    <n v="213.24788530000001"/>
    <n v="7.742"/>
    <x v="0"/>
  </r>
  <r>
    <x v="0"/>
    <x v="44"/>
    <n v="1456800.28"/>
    <n v="0"/>
    <n v="62.9"/>
    <x v="43"/>
    <n v="213.53560899999999"/>
    <n v="7.742"/>
    <x v="0"/>
  </r>
  <r>
    <x v="0"/>
    <x v="45"/>
    <n v="1636263.41"/>
    <n v="0"/>
    <n v="59.58"/>
    <x v="44"/>
    <n v="213.82333270000001"/>
    <n v="7.742"/>
    <x v="0"/>
  </r>
  <r>
    <x v="0"/>
    <x v="46"/>
    <n v="1576818.06"/>
    <n v="0"/>
    <n v="62.76"/>
    <x v="45"/>
    <n v="214.36271139999999"/>
    <n v="7.742"/>
    <x v="0"/>
  </r>
  <r>
    <x v="0"/>
    <x v="47"/>
    <n v="1541102.38"/>
    <n v="0"/>
    <n v="69.97"/>
    <x v="46"/>
    <n v="214.59993890000001"/>
    <n v="7.742"/>
    <x v="0"/>
  </r>
  <r>
    <x v="0"/>
    <x v="48"/>
    <n v="1614259.35"/>
    <n v="0"/>
    <n v="67.84"/>
    <x v="47"/>
    <n v="215.07439389999999"/>
    <n v="7.6820000000000004"/>
    <x v="0"/>
  </r>
  <r>
    <x v="0"/>
    <x v="49"/>
    <n v="1559889"/>
    <n v="0"/>
    <n v="71.27"/>
    <x v="48"/>
    <n v="215.29185609999999"/>
    <n v="7.6820000000000004"/>
    <x v="0"/>
  </r>
  <r>
    <x v="0"/>
    <x v="50"/>
    <n v="1564819.81"/>
    <n v="0"/>
    <n v="72.989999999999995"/>
    <x v="49"/>
    <n v="215.4599053"/>
    <n v="7.6820000000000004"/>
    <x v="0"/>
  </r>
  <r>
    <x v="0"/>
    <x v="51"/>
    <n v="1455090.69"/>
    <n v="0"/>
    <n v="72.03"/>
    <x v="50"/>
    <n v="215.62795439999999"/>
    <n v="7.6820000000000004"/>
    <x v="0"/>
  </r>
  <r>
    <x v="0"/>
    <x v="52"/>
    <n v="1629391.28"/>
    <n v="0"/>
    <n v="64.61"/>
    <x v="51"/>
    <n v="215.79600350000001"/>
    <n v="7.6820000000000004"/>
    <x v="0"/>
  </r>
  <r>
    <x v="0"/>
    <x v="53"/>
    <n v="1604775.58"/>
    <n v="0"/>
    <n v="75.64"/>
    <x v="52"/>
    <n v="215.9640526"/>
    <n v="7.6820000000000004"/>
    <x v="0"/>
  </r>
  <r>
    <x v="0"/>
    <x v="54"/>
    <n v="1428218.27"/>
    <n v="0"/>
    <n v="67.63"/>
    <x v="53"/>
    <n v="215.7339202"/>
    <n v="7.6820000000000004"/>
    <x v="0"/>
  </r>
  <r>
    <x v="0"/>
    <x v="55"/>
    <n v="1466046.67"/>
    <n v="0"/>
    <n v="77.72"/>
    <x v="54"/>
    <n v="215.5037878"/>
    <n v="7.6820000000000004"/>
    <x v="0"/>
  </r>
  <r>
    <x v="0"/>
    <x v="56"/>
    <n v="1635078.41"/>
    <n v="0"/>
    <n v="83"/>
    <x v="55"/>
    <n v="215.2736553"/>
    <n v="7.6820000000000004"/>
    <x v="0"/>
  </r>
  <r>
    <x v="0"/>
    <x v="57"/>
    <n v="1588948.32"/>
    <n v="0"/>
    <n v="83.13"/>
    <x v="56"/>
    <n v="215.0435229"/>
    <n v="7.6820000000000004"/>
    <x v="0"/>
  </r>
  <r>
    <x v="0"/>
    <x v="58"/>
    <n v="1532114.86"/>
    <n v="0"/>
    <n v="86.41"/>
    <x v="57"/>
    <n v="214.9980596"/>
    <n v="7.6820000000000004"/>
    <x v="0"/>
  </r>
  <r>
    <x v="0"/>
    <x v="59"/>
    <n v="1438830.15"/>
    <n v="0"/>
    <n v="83.58"/>
    <x v="58"/>
    <n v="215.0910982"/>
    <n v="7.6820000000000004"/>
    <x v="0"/>
  </r>
  <r>
    <x v="0"/>
    <x v="60"/>
    <n v="1488538.09"/>
    <n v="0"/>
    <n v="85.55"/>
    <x v="59"/>
    <n v="215.1841368"/>
    <n v="7.9619999999999997"/>
    <x v="0"/>
  </r>
  <r>
    <x v="0"/>
    <x v="61"/>
    <n v="1534849.64"/>
    <n v="0"/>
    <n v="85.83"/>
    <x v="60"/>
    <n v="215.2771754"/>
    <n v="7.9619999999999997"/>
    <x v="0"/>
  </r>
  <r>
    <x v="0"/>
    <x v="62"/>
    <n v="1455119.97"/>
    <n v="0"/>
    <n v="88.54"/>
    <x v="61"/>
    <n v="215.36110869999999"/>
    <n v="7.9619999999999997"/>
    <x v="0"/>
  </r>
  <r>
    <x v="0"/>
    <x v="63"/>
    <n v="1396926.82"/>
    <n v="0"/>
    <n v="85.77"/>
    <x v="62"/>
    <n v="215.42227840000001"/>
    <n v="7.9619999999999997"/>
    <x v="0"/>
  </r>
  <r>
    <x v="0"/>
    <x v="64"/>
    <n v="1352219.79"/>
    <n v="0"/>
    <n v="86.83"/>
    <x v="63"/>
    <n v="215.4834482"/>
    <n v="7.9619999999999997"/>
    <x v="0"/>
  </r>
  <r>
    <x v="0"/>
    <x v="65"/>
    <n v="1624383.75"/>
    <n v="0"/>
    <n v="91.65"/>
    <x v="64"/>
    <n v="215.54461800000001"/>
    <n v="7.9619999999999997"/>
    <x v="0"/>
  </r>
  <r>
    <x v="0"/>
    <x v="66"/>
    <n v="1525147.09"/>
    <n v="0"/>
    <n v="90.76"/>
    <x v="65"/>
    <n v="215.6057878"/>
    <n v="7.9619999999999997"/>
    <x v="0"/>
  </r>
  <r>
    <x v="0"/>
    <x v="67"/>
    <n v="1530761.43"/>
    <n v="0"/>
    <n v="89.94"/>
    <x v="66"/>
    <n v="215.66931070000001"/>
    <n v="7.9619999999999997"/>
    <x v="0"/>
  </r>
  <r>
    <x v="0"/>
    <x v="68"/>
    <n v="1464693.46"/>
    <n v="0"/>
    <n v="87.96"/>
    <x v="67"/>
    <n v="215.73322580000001"/>
    <n v="7.9619999999999997"/>
    <x v="0"/>
  </r>
  <r>
    <x v="0"/>
    <x v="69"/>
    <n v="1550229.22"/>
    <n v="0"/>
    <n v="87.83"/>
    <x v="68"/>
    <n v="215.79714089999999"/>
    <n v="7.9619999999999997"/>
    <x v="0"/>
  </r>
  <r>
    <x v="0"/>
    <x v="70"/>
    <n v="1540471.24"/>
    <n v="1"/>
    <n v="76"/>
    <x v="69"/>
    <n v="215.86105599999999"/>
    <n v="7.9619999999999997"/>
    <x v="1"/>
  </r>
  <r>
    <x v="0"/>
    <x v="71"/>
    <n v="1514259.78"/>
    <n v="0"/>
    <n v="79.94"/>
    <x v="70"/>
    <n v="216.0410526"/>
    <n v="7.9619999999999997"/>
    <x v="0"/>
  </r>
  <r>
    <x v="0"/>
    <x v="72"/>
    <n v="1380020.27"/>
    <n v="0"/>
    <n v="75.8"/>
    <x v="71"/>
    <n v="216.37582459999999"/>
    <n v="7.9619999999999997"/>
    <x v="0"/>
  </r>
  <r>
    <x v="0"/>
    <x v="73"/>
    <n v="1394561.83"/>
    <n v="0"/>
    <n v="79.69"/>
    <x v="72"/>
    <n v="216.71059650000001"/>
    <n v="7.9619999999999997"/>
    <x v="0"/>
  </r>
  <r>
    <x v="0"/>
    <x v="74"/>
    <n v="1630989.95"/>
    <n v="0"/>
    <n v="69.31"/>
    <x v="73"/>
    <n v="217.0453684"/>
    <n v="7.8659999999999997"/>
    <x v="0"/>
  </r>
  <r>
    <x v="0"/>
    <x v="75"/>
    <n v="1493525.93"/>
    <n v="0"/>
    <n v="71.739999999999995"/>
    <x v="74"/>
    <n v="217.35527329999999"/>
    <n v="7.8659999999999997"/>
    <x v="0"/>
  </r>
  <r>
    <x v="0"/>
    <x v="76"/>
    <n v="1502562.78"/>
    <n v="0"/>
    <n v="63.71"/>
    <x v="75"/>
    <n v="217.51597620000001"/>
    <n v="7.8659999999999997"/>
    <x v="0"/>
  </r>
  <r>
    <x v="0"/>
    <x v="77"/>
    <n v="1697229.58"/>
    <n v="0"/>
    <n v="54.98"/>
    <x v="76"/>
    <n v="217.83738199999999"/>
    <n v="7.8659999999999997"/>
    <x v="0"/>
  </r>
  <r>
    <x v="0"/>
    <x v="78"/>
    <n v="1594938.89"/>
    <n v="0"/>
    <n v="59.11"/>
    <x v="77"/>
    <n v="217.99808490000001"/>
    <n v="7.8659999999999997"/>
    <x v="0"/>
  </r>
  <r>
    <x v="0"/>
    <x v="79"/>
    <n v="2033320.66"/>
    <n v="1"/>
    <n v="60.14"/>
    <x v="78"/>
    <n v="218.4676211"/>
    <n v="7.8659999999999997"/>
    <x v="1"/>
  </r>
  <r>
    <x v="0"/>
    <x v="80"/>
    <n v="1584083.95"/>
    <n v="0"/>
    <n v="48.91"/>
    <x v="79"/>
    <n v="218.71473330000001"/>
    <n v="7.8659999999999997"/>
    <x v="0"/>
  </r>
  <r>
    <x v="0"/>
    <x v="81"/>
    <n v="1799682.38"/>
    <n v="0"/>
    <n v="43.93"/>
    <x v="80"/>
    <n v="218.9618456"/>
    <n v="7.8659999999999997"/>
    <x v="0"/>
  </r>
  <r>
    <x v="0"/>
    <x v="82"/>
    <n v="1881176.67"/>
    <n v="0"/>
    <n v="51.63"/>
    <x v="81"/>
    <n v="219.17945330000001"/>
    <n v="7.8659999999999997"/>
    <x v="0"/>
  </r>
  <r>
    <x v="0"/>
    <x v="83"/>
    <n v="2270188.9900000002"/>
    <n v="0"/>
    <n v="47.96"/>
    <x v="82"/>
    <n v="219.35772159999999"/>
    <n v="7.8659999999999997"/>
    <x v="0"/>
  </r>
  <r>
    <x v="0"/>
    <x v="84"/>
    <n v="1497462.72"/>
    <n v="0"/>
    <n v="44.55"/>
    <x v="83"/>
    <n v="219.53598980000001"/>
    <n v="7.8659999999999997"/>
    <x v="0"/>
  </r>
  <r>
    <x v="0"/>
    <x v="85"/>
    <n v="1550369.92"/>
    <n v="0"/>
    <n v="49.01"/>
    <x v="84"/>
    <n v="219.7142581"/>
    <n v="7.3479999999999999"/>
    <x v="0"/>
  </r>
  <r>
    <x v="0"/>
    <x v="86"/>
    <n v="1459601.17"/>
    <n v="0"/>
    <n v="48.53"/>
    <x v="85"/>
    <n v="219.89252629999999"/>
    <n v="7.3479999999999999"/>
    <x v="0"/>
  </r>
  <r>
    <x v="0"/>
    <x v="87"/>
    <n v="1394393.84"/>
    <n v="0"/>
    <n v="54.11"/>
    <x v="86"/>
    <n v="219.98568929999999"/>
    <n v="7.3479999999999999"/>
    <x v="0"/>
  </r>
  <r>
    <x v="0"/>
    <x v="88"/>
    <n v="1319325.5900000001"/>
    <n v="0"/>
    <n v="54.26"/>
    <x v="87"/>
    <n v="220.07885229999999"/>
    <n v="7.3479999999999999"/>
    <x v="0"/>
  </r>
  <r>
    <x v="0"/>
    <x v="89"/>
    <n v="1636339.65"/>
    <n v="0"/>
    <n v="56.55"/>
    <x v="88"/>
    <n v="220.1720153"/>
    <n v="7.3479999999999999"/>
    <x v="0"/>
  </r>
  <r>
    <x v="0"/>
    <x v="90"/>
    <n v="1802477.43"/>
    <n v="1"/>
    <n v="48.02"/>
    <x v="89"/>
    <n v="220.2651783"/>
    <n v="7.3479999999999999"/>
    <x v="1"/>
  </r>
  <r>
    <x v="0"/>
    <x v="91"/>
    <n v="1819870"/>
    <n v="0"/>
    <n v="45.32"/>
    <x v="90"/>
    <n v="220.42575859999999"/>
    <n v="7.3479999999999999"/>
    <x v="0"/>
  </r>
  <r>
    <x v="0"/>
    <x v="92"/>
    <n v="1539387.83"/>
    <n v="0"/>
    <n v="57.25"/>
    <x v="91"/>
    <n v="220.63690199999999"/>
    <n v="7.3479999999999999"/>
    <x v="0"/>
  </r>
  <r>
    <x v="0"/>
    <x v="93"/>
    <n v="1688420.76"/>
    <n v="0"/>
    <n v="-60.96"/>
    <x v="92"/>
    <n v="220.84804539999999"/>
    <n v="7.3479999999999999"/>
    <x v="0"/>
  </r>
  <r>
    <x v="0"/>
    <x v="94"/>
    <n v="1675431.16"/>
    <n v="0"/>
    <n v="58.76"/>
    <x v="93"/>
    <n v="221.05918869999999"/>
    <n v="7.3479999999999999"/>
    <x v="0"/>
  </r>
  <r>
    <x v="0"/>
    <x v="95"/>
    <n v="1677472.78"/>
    <n v="0"/>
    <n v="64.739999999999995"/>
    <x v="94"/>
    <n v="221.21181319999999"/>
    <n v="7.3479999999999999"/>
    <x v="0"/>
  </r>
  <r>
    <x v="0"/>
    <x v="96"/>
    <n v="1511068.07"/>
    <n v="0"/>
    <n v="65.930000000000007"/>
    <x v="95"/>
    <n v="221.28641260000001"/>
    <n v="7.3479999999999999"/>
    <x v="0"/>
  </r>
  <r>
    <x v="0"/>
    <x v="97"/>
    <n v="1649604.63"/>
    <n v="0"/>
    <n v="67.61"/>
    <x v="96"/>
    <n v="221.36101189999999"/>
    <n v="7.3479999999999999"/>
    <x v="0"/>
  </r>
  <r>
    <x v="0"/>
    <x v="98"/>
    <n v="1899676.88"/>
    <n v="0"/>
    <n v="70.430000000000007"/>
    <x v="97"/>
    <n v="221.43561120000001"/>
    <n v="7.1429999999999998"/>
    <x v="0"/>
  </r>
  <r>
    <x v="0"/>
    <x v="99"/>
    <n v="1621031.7"/>
    <n v="0"/>
    <n v="69.069999999999993"/>
    <x v="97"/>
    <n v="221.5102105"/>
    <n v="7.1429999999999998"/>
    <x v="0"/>
  </r>
  <r>
    <x v="0"/>
    <x v="100"/>
    <n v="1521577.87"/>
    <n v="0"/>
    <n v="66.760000000000005"/>
    <x v="98"/>
    <n v="221.56407369999999"/>
    <n v="7.1429999999999998"/>
    <x v="0"/>
  </r>
  <r>
    <x v="0"/>
    <x v="101"/>
    <n v="1468928.37"/>
    <n v="0"/>
    <n v="67.23"/>
    <x v="99"/>
    <n v="221.6179368"/>
    <n v="7.1429999999999998"/>
    <x v="0"/>
  </r>
  <r>
    <x v="0"/>
    <x v="102"/>
    <n v="1684519.99"/>
    <n v="0"/>
    <n v="75.55"/>
    <x v="100"/>
    <n v="221.67179999999999"/>
    <n v="7.1429999999999998"/>
    <x v="0"/>
  </r>
  <r>
    <x v="0"/>
    <x v="103"/>
    <n v="1611096.05"/>
    <n v="0"/>
    <n v="73.77"/>
    <x v="101"/>
    <n v="221.72566320000001"/>
    <n v="7.1429999999999998"/>
    <x v="0"/>
  </r>
  <r>
    <x v="0"/>
    <x v="104"/>
    <n v="1555444.55"/>
    <n v="0"/>
    <n v="77.22"/>
    <x v="102"/>
    <n v="221.744944"/>
    <n v="7.1429999999999998"/>
    <x v="0"/>
  </r>
  <r>
    <x v="0"/>
    <x v="105"/>
    <n v="1624477.58"/>
    <n v="0"/>
    <n v="77.95"/>
    <x v="103"/>
    <n v="221.74721389999999"/>
    <n v="7.1429999999999998"/>
    <x v="0"/>
  </r>
  <r>
    <x v="0"/>
    <x v="106"/>
    <n v="1697230.96"/>
    <n v="0"/>
    <n v="78.3"/>
    <x v="104"/>
    <n v="221.7494839"/>
    <n v="7.1429999999999998"/>
    <x v="0"/>
  </r>
  <r>
    <x v="0"/>
    <x v="107"/>
    <n v="1630607"/>
    <n v="0"/>
    <n v="79.349999999999994"/>
    <x v="105"/>
    <n v="221.76264209999999"/>
    <n v="7.1429999999999998"/>
    <x v="0"/>
  </r>
  <r>
    <x v="0"/>
    <x v="108"/>
    <n v="1527845.81"/>
    <n v="0"/>
    <n v="78.39"/>
    <x v="106"/>
    <n v="221.8030211"/>
    <n v="7.1429999999999998"/>
    <x v="0"/>
  </r>
  <r>
    <x v="0"/>
    <x v="109"/>
    <n v="1540421.49"/>
    <n v="0"/>
    <n v="84.88"/>
    <x v="107"/>
    <n v="221.8434"/>
    <n v="7.1429999999999998"/>
    <x v="0"/>
  </r>
  <r>
    <x v="0"/>
    <x v="110"/>
    <n v="1769854.16"/>
    <n v="0"/>
    <n v="81.569999999999993"/>
    <x v="108"/>
    <n v="221.88377890000001"/>
    <n v="6.9080000000000004"/>
    <x v="0"/>
  </r>
  <r>
    <x v="0"/>
    <x v="111"/>
    <n v="1527014.04"/>
    <n v="0"/>
    <n v="77.12"/>
    <x v="109"/>
    <n v="221.92415790000001"/>
    <n v="6.9080000000000004"/>
    <x v="0"/>
  </r>
  <r>
    <x v="0"/>
    <x v="112"/>
    <n v="1497954.76"/>
    <n v="0"/>
    <n v="80.42"/>
    <x v="110"/>
    <n v="221.93272669999999"/>
    <n v="6.9080000000000004"/>
    <x v="0"/>
  </r>
  <r>
    <x v="0"/>
    <x v="113"/>
    <n v="1439123.71"/>
    <n v="0"/>
    <n v="82.66"/>
    <x v="111"/>
    <n v="221.9412954"/>
    <n v="6.9080000000000004"/>
    <x v="0"/>
  </r>
  <r>
    <x v="0"/>
    <x v="114"/>
    <n v="1631135.79"/>
    <n v="0"/>
    <n v="86.11"/>
    <x v="112"/>
    <n v="221.94986420000001"/>
    <n v="6.9080000000000004"/>
    <x v="0"/>
  </r>
  <r>
    <x v="0"/>
    <x v="115"/>
    <n v="1592409.97"/>
    <n v="0"/>
    <n v="85.05"/>
    <x v="113"/>
    <n v="221.95843289999999"/>
    <n v="6.9080000000000004"/>
    <x v="0"/>
  </r>
  <r>
    <x v="0"/>
    <x v="116"/>
    <n v="1597868.05"/>
    <n v="0"/>
    <n v="84.85"/>
    <x v="114"/>
    <n v="222.0384109"/>
    <n v="6.9080000000000004"/>
    <x v="0"/>
  </r>
  <r>
    <x v="0"/>
    <x v="117"/>
    <n v="1494122.38"/>
    <n v="0"/>
    <n v="77.66"/>
    <x v="115"/>
    <n v="222.17194570000001"/>
    <n v="6.9080000000000004"/>
    <x v="0"/>
  </r>
  <r>
    <x v="0"/>
    <x v="118"/>
    <n v="1582083.4"/>
    <n v="0"/>
    <n v="80.489999999999995"/>
    <x v="65"/>
    <n v="222.30548049999999"/>
    <n v="6.9080000000000004"/>
    <x v="0"/>
  </r>
  <r>
    <x v="0"/>
    <x v="119"/>
    <n v="1661767.33"/>
    <n v="1"/>
    <n v="83.96"/>
    <x v="116"/>
    <n v="222.43901529999999"/>
    <n v="6.9080000000000004"/>
    <x v="1"/>
  </r>
  <r>
    <x v="0"/>
    <x v="120"/>
    <n v="1517428.87"/>
    <n v="0"/>
    <n v="74.97"/>
    <x v="117"/>
    <n v="222.58201930000001"/>
    <n v="6.9080000000000004"/>
    <x v="0"/>
  </r>
  <r>
    <x v="0"/>
    <x v="121"/>
    <n v="1506126.06"/>
    <n v="0"/>
    <n v="69.87"/>
    <x v="118"/>
    <n v="222.78183859999999"/>
    <n v="6.9080000000000004"/>
    <x v="0"/>
  </r>
  <r>
    <x v="0"/>
    <x v="122"/>
    <n v="1437059.26"/>
    <n v="0"/>
    <n v="76.08"/>
    <x v="119"/>
    <n v="222.98165789999999"/>
    <n v="6.9080000000000004"/>
    <x v="0"/>
  </r>
  <r>
    <x v="0"/>
    <x v="123"/>
    <n v="1670785.97"/>
    <n v="0"/>
    <n v="68.55"/>
    <x v="120"/>
    <n v="223.18147719999999"/>
    <n v="6.5730000000000004"/>
    <x v="0"/>
  </r>
  <r>
    <x v="0"/>
    <x v="124"/>
    <n v="1573072.81"/>
    <n v="0"/>
    <n v="62.99"/>
    <x v="121"/>
    <n v="223.38129649999999"/>
    <n v="6.5730000000000004"/>
    <x v="0"/>
  </r>
  <r>
    <x v="0"/>
    <x v="125"/>
    <n v="1508068.77"/>
    <n v="0"/>
    <n v="67.97"/>
    <x v="58"/>
    <n v="223.42572329999999"/>
    <n v="6.5730000000000004"/>
    <x v="0"/>
  </r>
  <r>
    <x v="0"/>
    <x v="126"/>
    <n v="1493659.74"/>
    <n v="0"/>
    <n v="69.16"/>
    <x v="122"/>
    <n v="223.44425129999999"/>
    <n v="6.5730000000000004"/>
    <x v="0"/>
  </r>
  <r>
    <x v="1"/>
    <x v="0"/>
    <n v="2136989.46"/>
    <n v="0"/>
    <n v="40.19"/>
    <x v="0"/>
    <n v="210.7526053"/>
    <n v="8.3239999999999998"/>
    <x v="0"/>
  </r>
  <r>
    <x v="1"/>
    <x v="1"/>
    <n v="2137809.5"/>
    <n v="1"/>
    <n v="38.49"/>
    <x v="1"/>
    <n v="210.89799350000001"/>
    <n v="8.3239999999999998"/>
    <x v="1"/>
  </r>
  <r>
    <x v="1"/>
    <x v="2"/>
    <n v="2124451.54"/>
    <n v="0"/>
    <n v="39.69"/>
    <x v="2"/>
    <n v="210.94516049999999"/>
    <n v="8.3239999999999998"/>
    <x v="0"/>
  </r>
  <r>
    <x v="1"/>
    <x v="3"/>
    <n v="1865097.27"/>
    <n v="0"/>
    <n v="46.1"/>
    <x v="3"/>
    <n v="210.9759573"/>
    <n v="8.3239999999999998"/>
    <x v="0"/>
  </r>
  <r>
    <x v="1"/>
    <x v="4"/>
    <n v="1991013.13"/>
    <n v="0"/>
    <n v="47.17"/>
    <x v="4"/>
    <n v="211.00675419999999"/>
    <n v="8.3239999999999998"/>
    <x v="0"/>
  </r>
  <r>
    <x v="1"/>
    <x v="5"/>
    <n v="1990483.78"/>
    <n v="0"/>
    <n v="57.56"/>
    <x v="5"/>
    <n v="211.03755100000001"/>
    <n v="8.3239999999999998"/>
    <x v="0"/>
  </r>
  <r>
    <x v="1"/>
    <x v="6"/>
    <n v="1946070.88"/>
    <n v="0"/>
    <n v="54.52"/>
    <x v="6"/>
    <n v="210.8733316"/>
    <n v="8.3239999999999998"/>
    <x v="0"/>
  </r>
  <r>
    <x v="1"/>
    <x v="7"/>
    <n v="1750197.81"/>
    <n v="0"/>
    <n v="51.26"/>
    <x v="7"/>
    <n v="210.67660950000001"/>
    <n v="8.3239999999999998"/>
    <x v="0"/>
  </r>
  <r>
    <x v="1"/>
    <x v="9"/>
    <n v="1954689.21"/>
    <n v="0"/>
    <n v="65.41"/>
    <x v="9"/>
    <n v="210.28316530000001"/>
    <n v="8.1999999999999993"/>
    <x v="0"/>
  </r>
  <r>
    <x v="1"/>
    <x v="11"/>
    <n v="1821990.93"/>
    <n v="0"/>
    <n v="65.11"/>
    <x v="11"/>
    <n v="210.10006480000001"/>
    <n v="8.1999999999999993"/>
    <x v="0"/>
  </r>
  <r>
    <x v="1"/>
    <x v="13"/>
    <n v="30000"/>
    <n v="0"/>
    <n v="71.28"/>
    <x v="13"/>
    <n v="210.00110179999999"/>
    <n v="8.1999999999999993"/>
    <x v="0"/>
  </r>
  <r>
    <x v="1"/>
    <x v="17"/>
    <n v="2102539.9300000002"/>
    <n v="0"/>
    <n v="81.81"/>
    <x v="17"/>
    <n v="210.83361600000001"/>
    <n v="8.1999999999999993"/>
    <x v="0"/>
  </r>
  <r>
    <x v="1"/>
    <x v="18"/>
    <n v="50000"/>
    <n v="0"/>
    <n v="83.4"/>
    <x v="18"/>
    <n v="211.1120018"/>
    <n v="8.1999999999999993"/>
    <x v="0"/>
  </r>
  <r>
    <x v="1"/>
    <x v="19"/>
    <n v="2001636.96"/>
    <n v="0"/>
    <n v="85.81"/>
    <x v="19"/>
    <n v="211.10965429999999"/>
    <n v="8.1999999999999993"/>
    <x v="0"/>
  </r>
  <r>
    <x v="1"/>
    <x v="20"/>
    <n v="1939927.09"/>
    <n v="0"/>
    <n v="86.26"/>
    <x v="20"/>
    <n v="210.9950134"/>
    <n v="8.1999999999999993"/>
    <x v="0"/>
  </r>
  <r>
    <x v="1"/>
    <x v="127"/>
    <n v="1880902.62"/>
    <n v="0"/>
    <n v="82.59"/>
    <x v="123"/>
    <n v="210.7657317"/>
    <n v="8.0990000000000002"/>
    <x v="0"/>
  </r>
  <r>
    <x v="1"/>
    <x v="128"/>
    <n v="18000"/>
    <n v="0"/>
    <n v="83.49"/>
    <x v="124"/>
    <n v="211.0264684"/>
    <n v="8.0990000000000002"/>
    <x v="0"/>
  </r>
  <r>
    <x v="1"/>
    <x v="23"/>
    <n v="1991909.98"/>
    <n v="0"/>
    <n v="-89.53"/>
    <x v="23"/>
    <n v="211.16080489999999"/>
    <n v="8.0990000000000002"/>
    <x v="0"/>
  </r>
  <r>
    <x v="1"/>
    <x v="25"/>
    <n v="1964335.23"/>
    <n v="0"/>
    <n v="88.7"/>
    <x v="25"/>
    <n v="211.25965859999999"/>
    <n v="8.0990000000000002"/>
    <x v="0"/>
  </r>
  <r>
    <x v="1"/>
    <x v="26"/>
    <n v="1863840.49"/>
    <n v="0"/>
    <n v="87.12"/>
    <x v="26"/>
    <n v="211.22417590000001"/>
    <n v="8.0990000000000002"/>
    <x v="0"/>
  </r>
  <r>
    <x v="1"/>
    <x v="129"/>
    <n v="1904608.09"/>
    <n v="0"/>
    <n v="81.83"/>
    <x v="125"/>
    <n v="211.18869309999999"/>
    <n v="8.0990000000000002"/>
    <x v="0"/>
  </r>
  <r>
    <x v="1"/>
    <x v="130"/>
    <n v="1793903.6"/>
    <n v="0"/>
    <n v="82.05"/>
    <x v="126"/>
    <n v="211.18064150000001"/>
    <n v="8.0990000000000002"/>
    <x v="0"/>
  </r>
  <r>
    <x v="1"/>
    <x v="131"/>
    <n v="1827440.43"/>
    <n v="0"/>
    <n v="69.239999999999995"/>
    <x v="127"/>
    <n v="211.32987420000001"/>
    <n v="8.1630000000000003"/>
    <x v="0"/>
  </r>
  <r>
    <x v="1"/>
    <x v="28"/>
    <n v="1849921.44"/>
    <n v="0"/>
    <n v="63.19"/>
    <x v="28"/>
    <n v="211.4044906"/>
    <n v="8.1630000000000003"/>
    <x v="0"/>
  </r>
  <r>
    <x v="1"/>
    <x v="29"/>
    <n v="1794355.49"/>
    <n v="0"/>
    <n v="65.8"/>
    <x v="6"/>
    <n v="211.47132859999999"/>
    <n v="8.1630000000000003"/>
    <x v="0"/>
  </r>
  <r>
    <x v="1"/>
    <x v="30"/>
    <n v="1737947.64"/>
    <n v="0"/>
    <n v="68.5"/>
    <x v="29"/>
    <n v="211.51872080000001"/>
    <n v="8.1630000000000003"/>
    <x v="0"/>
  </r>
  <r>
    <x v="1"/>
    <x v="132"/>
    <n v="1802755.11"/>
    <n v="0"/>
    <n v="66.239999999999995"/>
    <x v="128"/>
    <n v="211.5661131"/>
    <n v="8.1630000000000003"/>
    <x v="0"/>
  </r>
  <r>
    <x v="1"/>
    <x v="32"/>
    <n v="1956739.17"/>
    <n v="0"/>
    <n v="60"/>
    <x v="31"/>
    <n v="211.54703040000001"/>
    <n v="8.1630000000000003"/>
    <x v="0"/>
  </r>
  <r>
    <x v="1"/>
    <x v="33"/>
    <n v="2658725.29"/>
    <n v="1"/>
    <n v="62.98"/>
    <x v="32"/>
    <n v="211.40628670000001"/>
    <n v="8.1630000000000003"/>
    <x v="1"/>
  </r>
  <r>
    <x v="1"/>
    <x v="34"/>
    <n v="2015781.27"/>
    <n v="0"/>
    <n v="49.33"/>
    <x v="33"/>
    <n v="211.26554300000001"/>
    <n v="8.1630000000000003"/>
    <x v="0"/>
  </r>
  <r>
    <x v="1"/>
    <x v="35"/>
    <n v="2378726.5499999998"/>
    <n v="0"/>
    <n v="45.5"/>
    <x v="34"/>
    <n v="211.12479930000001"/>
    <n v="8.1630000000000003"/>
    <x v="0"/>
  </r>
  <r>
    <x v="1"/>
    <x v="36"/>
    <n v="2609166.75"/>
    <n v="0"/>
    <n v="47.55"/>
    <x v="35"/>
    <n v="211.06454579999999"/>
    <n v="8.1630000000000003"/>
    <x v="0"/>
  </r>
  <r>
    <x v="1"/>
    <x v="37"/>
    <n v="3436007.68"/>
    <n v="0"/>
    <n v="49.97"/>
    <x v="36"/>
    <n v="211.06465990000001"/>
    <n v="8.1630000000000003"/>
    <x v="0"/>
  </r>
  <r>
    <x v="1"/>
    <x v="39"/>
    <n v="1758050.79"/>
    <n v="0"/>
    <n v="44.69"/>
    <x v="38"/>
    <n v="211.06488809999999"/>
    <n v="8.0280000000000005"/>
    <x v="0"/>
  </r>
  <r>
    <x v="1"/>
    <x v="133"/>
    <n v="1744193.58"/>
    <n v="0"/>
    <n v="30"/>
    <x v="129"/>
    <n v="211.11767130000001"/>
    <n v="8.0280000000000005"/>
    <x v="0"/>
  </r>
  <r>
    <x v="1"/>
    <x v="41"/>
    <n v="1695371.68"/>
    <n v="0"/>
    <n v="42.83"/>
    <x v="40"/>
    <n v="211.85526680000001"/>
    <n v="8.0280000000000005"/>
    <x v="0"/>
  </r>
  <r>
    <x v="1"/>
    <x v="134"/>
    <n v="1929346.23"/>
    <n v="0"/>
    <n v="38.25"/>
    <x v="130"/>
    <n v="212.22406459999999"/>
    <n v="8.0280000000000005"/>
    <x v="0"/>
  </r>
  <r>
    <x v="1"/>
    <x v="42"/>
    <n v="2168041.61"/>
    <n v="1"/>
    <n v="33.19"/>
    <x v="41"/>
    <n v="212.5928624"/>
    <n v="8.0280000000000005"/>
    <x v="1"/>
  </r>
  <r>
    <x v="1"/>
    <x v="43"/>
    <n v="2080884.82"/>
    <n v="0"/>
    <n v="57.83"/>
    <x v="42"/>
    <n v="212.9033115"/>
    <n v="8.0280000000000005"/>
    <x v="0"/>
  </r>
  <r>
    <x v="1"/>
    <x v="44"/>
    <n v="1833511.08"/>
    <n v="0"/>
    <n v="60.8"/>
    <x v="43"/>
    <n v="213.19042099999999"/>
    <n v="8.0280000000000005"/>
    <x v="0"/>
  </r>
  <r>
    <x v="1"/>
    <x v="45"/>
    <n v="1981607.78"/>
    <n v="0"/>
    <n v="57.77"/>
    <x v="44"/>
    <n v="213.4775305"/>
    <n v="8.0280000000000005"/>
    <x v="0"/>
  </r>
  <r>
    <x v="1"/>
    <x v="135"/>
    <n v="1879107.31"/>
    <n v="0"/>
    <n v="52.7"/>
    <x v="131"/>
    <n v="213.76464010000001"/>
    <n v="8.0280000000000005"/>
    <x v="0"/>
  </r>
  <r>
    <x v="1"/>
    <x v="46"/>
    <n v="1902557.66"/>
    <n v="0"/>
    <n v="62.32"/>
    <x v="45"/>
    <n v="214.01562379999999"/>
    <n v="8.0280000000000005"/>
    <x v="0"/>
  </r>
  <r>
    <x v="1"/>
    <x v="47"/>
    <n v="1766162.05"/>
    <n v="0"/>
    <n v="69.42"/>
    <x v="46"/>
    <n v="214.25215729999999"/>
    <n v="8.0280000000000005"/>
    <x v="0"/>
  </r>
  <r>
    <x v="1"/>
    <x v="136"/>
    <n v="1800171.36"/>
    <n v="0"/>
    <n v="55.43"/>
    <x v="59"/>
    <n v="214.4886908"/>
    <n v="7.931"/>
    <x v="0"/>
  </r>
  <r>
    <x v="1"/>
    <x v="48"/>
    <n v="1847552.61"/>
    <n v="0"/>
    <n v="75"/>
    <x v="47"/>
    <n v="214.72522420000001"/>
    <n v="7.931"/>
    <x v="0"/>
  </r>
  <r>
    <x v="1"/>
    <x v="49"/>
    <n v="1856467.84"/>
    <n v="0"/>
    <n v="69.48"/>
    <x v="48"/>
    <n v="214.94206310000001"/>
    <n v="7.931"/>
    <x v="0"/>
  </r>
  <r>
    <x v="1"/>
    <x v="50"/>
    <n v="1886339.6"/>
    <n v="0"/>
    <n v="69.39"/>
    <x v="49"/>
    <n v="215.10966569999999"/>
    <n v="7.931"/>
    <x v="0"/>
  </r>
  <r>
    <x v="1"/>
    <x v="51"/>
    <n v="1745545.28"/>
    <n v="0"/>
    <n v="69.209999999999994"/>
    <x v="50"/>
    <n v="215.2772683"/>
    <n v="7.931"/>
    <x v="0"/>
  </r>
  <r>
    <x v="1"/>
    <x v="52"/>
    <n v="1837743.6"/>
    <n v="0"/>
    <n v="61.48"/>
    <x v="51"/>
    <n v="215.44487090000001"/>
    <n v="7.931"/>
    <x v="0"/>
  </r>
  <r>
    <x v="1"/>
    <x v="53"/>
    <n v="1838513.07"/>
    <n v="0"/>
    <n v="75"/>
    <x v="52"/>
    <n v="215.61247349999999"/>
    <n v="7.931"/>
    <x v="0"/>
  </r>
  <r>
    <x v="1"/>
    <x v="54"/>
    <n v="1688281.86"/>
    <n v="0"/>
    <n v="67.14"/>
    <x v="53"/>
    <n v="215.38347780000001"/>
    <n v="7.931"/>
    <x v="0"/>
  </r>
  <r>
    <x v="1"/>
    <x v="55"/>
    <n v="1797732.56"/>
    <n v="0"/>
    <n v="76.42"/>
    <x v="54"/>
    <n v="215.15448219999999"/>
    <n v="7.931"/>
    <x v="0"/>
  </r>
  <r>
    <x v="1"/>
    <x v="56"/>
    <n v="1933756.21"/>
    <n v="0"/>
    <n v="83.07"/>
    <x v="55"/>
    <n v="214.92548650000001"/>
    <n v="7.931"/>
    <x v="0"/>
  </r>
  <r>
    <x v="1"/>
    <x v="57"/>
    <n v="1929153.16"/>
    <n v="0"/>
    <n v="83.4"/>
    <x v="56"/>
    <n v="214.69649079999999"/>
    <n v="7.931"/>
    <x v="0"/>
  </r>
  <r>
    <x v="1"/>
    <x v="58"/>
    <n v="1953771.99"/>
    <n v="0"/>
    <n v="86.53"/>
    <x v="57"/>
    <n v="214.65135380000001"/>
    <n v="7.931"/>
    <x v="0"/>
  </r>
  <r>
    <x v="1"/>
    <x v="59"/>
    <n v="1790925.8"/>
    <n v="0"/>
    <n v="85.17"/>
    <x v="58"/>
    <n v="214.74411079999999"/>
    <n v="7.931"/>
    <x v="0"/>
  </r>
  <r>
    <x v="1"/>
    <x v="60"/>
    <n v="1866243"/>
    <n v="0"/>
    <n v="85.69"/>
    <x v="59"/>
    <n v="214.83686779999999"/>
    <n v="7.8520000000000003"/>
    <x v="0"/>
  </r>
  <r>
    <x v="1"/>
    <x v="61"/>
    <n v="1853161.99"/>
    <n v="0"/>
    <n v="87.7"/>
    <x v="60"/>
    <n v="214.92962489999999"/>
    <n v="7.8520000000000003"/>
    <x v="0"/>
  </r>
  <r>
    <x v="1"/>
    <x v="62"/>
    <n v="1785187.29"/>
    <n v="0"/>
    <n v="89.83"/>
    <x v="61"/>
    <n v="215.01344259999999"/>
    <n v="7.8520000000000003"/>
    <x v="0"/>
  </r>
  <r>
    <x v="1"/>
    <x v="63"/>
    <n v="1743816.41"/>
    <n v="0"/>
    <n v="89.34"/>
    <x v="62"/>
    <n v="215.0749122"/>
    <n v="7.8520000000000003"/>
    <x v="0"/>
  </r>
  <r>
    <x v="1"/>
    <x v="64"/>
    <n v="1680693.06"/>
    <n v="0"/>
    <n v="90.07"/>
    <x v="63"/>
    <n v="215.1363819"/>
    <n v="7.8520000000000003"/>
    <x v="0"/>
  </r>
  <r>
    <x v="1"/>
    <x v="65"/>
    <n v="1876704.26"/>
    <n v="0"/>
    <n v="93.34"/>
    <x v="64"/>
    <n v="215.19785150000001"/>
    <n v="7.8520000000000003"/>
    <x v="0"/>
  </r>
  <r>
    <x v="1"/>
    <x v="66"/>
    <n v="1812768.26"/>
    <n v="0"/>
    <n v="91.58"/>
    <x v="65"/>
    <n v="215.25932109999999"/>
    <n v="7.8520000000000003"/>
    <x v="0"/>
  </r>
  <r>
    <x v="1"/>
    <x v="67"/>
    <n v="1844094.59"/>
    <n v="0"/>
    <n v="89.86"/>
    <x v="66"/>
    <n v="215.3229307"/>
    <n v="7.8520000000000003"/>
    <x v="0"/>
  </r>
  <r>
    <x v="1"/>
    <x v="68"/>
    <n v="1821139.91"/>
    <n v="0"/>
    <n v="90.45"/>
    <x v="67"/>
    <n v="215.386897"/>
    <n v="7.8520000000000003"/>
    <x v="0"/>
  </r>
  <r>
    <x v="1"/>
    <x v="69"/>
    <n v="1809119.7"/>
    <n v="0"/>
    <n v="89.64"/>
    <x v="68"/>
    <n v="215.45086319999999"/>
    <n v="7.8520000000000003"/>
    <x v="0"/>
  </r>
  <r>
    <x v="1"/>
    <x v="70"/>
    <n v="1748000.65"/>
    <n v="1"/>
    <n v="77.97"/>
    <x v="69"/>
    <n v="215.51482949999999"/>
    <n v="7.8520000000000003"/>
    <x v="1"/>
  </r>
  <r>
    <x v="1"/>
    <x v="71"/>
    <n v="1691439.52"/>
    <n v="0"/>
    <n v="78.849999999999994"/>
    <x v="70"/>
    <n v="215.6944378"/>
    <n v="7.8520000000000003"/>
    <x v="0"/>
  </r>
  <r>
    <x v="1"/>
    <x v="72"/>
    <n v="1669299.78"/>
    <n v="0"/>
    <n v="75.58"/>
    <x v="71"/>
    <n v="216.02823559999999"/>
    <n v="7.8520000000000003"/>
    <x v="0"/>
  </r>
  <r>
    <x v="1"/>
    <x v="73"/>
    <n v="1650394.44"/>
    <n v="0"/>
    <n v="78.14"/>
    <x v="72"/>
    <n v="216.36203330000001"/>
    <n v="7.8520000000000003"/>
    <x v="0"/>
  </r>
  <r>
    <x v="1"/>
    <x v="74"/>
    <n v="1837553.43"/>
    <n v="0"/>
    <n v="69.92"/>
    <x v="73"/>
    <n v="216.69583109999999"/>
    <n v="7.4409999999999998"/>
    <x v="0"/>
  </r>
  <r>
    <x v="1"/>
    <x v="75"/>
    <n v="1743882.19"/>
    <n v="0"/>
    <n v="71.67"/>
    <x v="74"/>
    <n v="217.0048261"/>
    <n v="7.4409999999999998"/>
    <x v="0"/>
  </r>
  <r>
    <x v="1"/>
    <x v="76"/>
    <n v="1834680.25"/>
    <n v="0"/>
    <n v="64.53"/>
    <x v="75"/>
    <n v="217.1650042"/>
    <n v="7.4409999999999998"/>
    <x v="0"/>
  </r>
  <r>
    <x v="1"/>
    <x v="137"/>
    <n v="1769296.25"/>
    <n v="0"/>
    <n v="65.87"/>
    <x v="132"/>
    <n v="217.32518239999999"/>
    <n v="7.4409999999999998"/>
    <x v="0"/>
  </r>
  <r>
    <x v="1"/>
    <x v="77"/>
    <n v="1959707.9"/>
    <n v="0"/>
    <n v="55.53"/>
    <x v="76"/>
    <n v="217.48536050000001"/>
    <n v="7.4409999999999998"/>
    <x v="0"/>
  </r>
  <r>
    <x v="1"/>
    <x v="78"/>
    <n v="1920725.15"/>
    <n v="0"/>
    <n v="59.33"/>
    <x v="77"/>
    <n v="217.6455387"/>
    <n v="7.4409999999999998"/>
    <x v="0"/>
  </r>
  <r>
    <x v="1"/>
    <x v="138"/>
    <n v="1902762.5"/>
    <n v="0"/>
    <n v="62.01"/>
    <x v="133"/>
    <n v="217.8670218"/>
    <n v="7.4409999999999998"/>
    <x v="0"/>
  </r>
  <r>
    <x v="1"/>
    <x v="79"/>
    <n v="2614202.2999999998"/>
    <n v="1"/>
    <n v="56.36"/>
    <x v="78"/>
    <n v="218.11302689999999"/>
    <n v="7.4409999999999998"/>
    <x v="1"/>
  </r>
  <r>
    <x v="1"/>
    <x v="80"/>
    <n v="1954952"/>
    <n v="0"/>
    <n v="48.74"/>
    <x v="79"/>
    <n v="218.35903189999999"/>
    <n v="7.4409999999999998"/>
    <x v="0"/>
  </r>
  <r>
    <x v="1"/>
    <x v="81"/>
    <n v="2290549.3199999998"/>
    <n v="0"/>
    <n v="30"/>
    <x v="80"/>
    <n v="218.60503700000001"/>
    <n v="7.4409999999999998"/>
    <x v="0"/>
  </r>
  <r>
    <x v="1"/>
    <x v="82"/>
    <n v="2432736.52"/>
    <n v="0"/>
    <n v="50.13"/>
    <x v="81"/>
    <n v="218.8217928"/>
    <n v="7.4409999999999998"/>
    <x v="0"/>
  </r>
  <r>
    <x v="1"/>
    <x v="83"/>
    <n v="3224369.8"/>
    <n v="0"/>
    <n v="46.66"/>
    <x v="82"/>
    <n v="218.9995495"/>
    <n v="7.4409999999999998"/>
    <x v="0"/>
  </r>
  <r>
    <x v="1"/>
    <x v="84"/>
    <n v="1874226.52"/>
    <n v="1"/>
    <n v="44.57"/>
    <x v="83"/>
    <n v="219.1773063"/>
    <n v="7.4409999999999998"/>
    <x v="1"/>
  </r>
  <r>
    <x v="1"/>
    <x v="85"/>
    <n v="1799520.14"/>
    <n v="0"/>
    <n v="46.75"/>
    <x v="84"/>
    <n v="219.355063"/>
    <n v="7.0570000000000004"/>
    <x v="0"/>
  </r>
  <r>
    <x v="1"/>
    <x v="86"/>
    <n v="1744725.48"/>
    <n v="0"/>
    <n v="45.99"/>
    <x v="85"/>
    <n v="219.5328198"/>
    <n v="7.0570000000000004"/>
    <x v="0"/>
  </r>
  <r>
    <x v="1"/>
    <x v="87"/>
    <n v="1711769.11"/>
    <n v="0"/>
    <n v="51.7"/>
    <x v="86"/>
    <n v="219.6258417"/>
    <n v="7.0570000000000004"/>
    <x v="0"/>
  </r>
  <r>
    <x v="1"/>
    <x v="88"/>
    <n v="1660906.14"/>
    <n v="0"/>
    <n v="50.5"/>
    <x v="87"/>
    <n v="219.71886359999999"/>
    <n v="7.0570000000000004"/>
    <x v="0"/>
  </r>
  <r>
    <x v="1"/>
    <x v="89"/>
    <n v="1935299.94"/>
    <n v="0"/>
    <n v="55.21"/>
    <x v="88"/>
    <n v="219.81188539999999"/>
    <n v="7.0570000000000004"/>
    <x v="0"/>
  </r>
  <r>
    <x v="1"/>
    <x v="90"/>
    <n v="2103322.6800000002"/>
    <n v="1"/>
    <n v="46.98"/>
    <x v="89"/>
    <n v="219.90490729999999"/>
    <n v="7.0570000000000004"/>
    <x v="1"/>
  </r>
  <r>
    <x v="1"/>
    <x v="91"/>
    <n v="2196688.46"/>
    <n v="0"/>
    <n v="43.82"/>
    <x v="90"/>
    <n v="220.06519929999999"/>
    <n v="7.0570000000000004"/>
    <x v="0"/>
  </r>
  <r>
    <x v="1"/>
    <x v="92"/>
    <n v="1861802.7"/>
    <n v="0"/>
    <n v="54.63"/>
    <x v="91"/>
    <n v="220.27594400000001"/>
    <n v="7.0570000000000004"/>
    <x v="0"/>
  </r>
  <r>
    <x v="1"/>
    <x v="93"/>
    <n v="1952555.66"/>
    <n v="0"/>
    <n v="58.79"/>
    <x v="92"/>
    <n v="220.48668860000001"/>
    <n v="7.0570000000000004"/>
    <x v="0"/>
  </r>
  <r>
    <x v="1"/>
    <x v="94"/>
    <n v="1937628.26"/>
    <n v="0"/>
    <n v="57.11"/>
    <x v="93"/>
    <n v="220.69743320000001"/>
    <n v="7.0570000000000004"/>
    <x v="0"/>
  </r>
  <r>
    <x v="1"/>
    <x v="95"/>
    <n v="1976082.13"/>
    <n v="0"/>
    <n v="63.68"/>
    <x v="94"/>
    <n v="220.84984679999999"/>
    <n v="7.0570000000000004"/>
    <x v="0"/>
  </r>
  <r>
    <x v="1"/>
    <x v="96"/>
    <n v="1790439.16"/>
    <n v="0"/>
    <n v="64.010000000000005"/>
    <x v="95"/>
    <n v="220.92448580000001"/>
    <n v="7.0570000000000004"/>
    <x v="0"/>
  </r>
  <r>
    <x v="1"/>
    <x v="97"/>
    <n v="1857480.84"/>
    <n v="0"/>
    <n v="66.83"/>
    <x v="96"/>
    <n v="220.9991248"/>
    <n v="7.0570000000000004"/>
    <x v="0"/>
  </r>
  <r>
    <x v="1"/>
    <x v="98"/>
    <n v="2129035.91"/>
    <n v="0"/>
    <n v="68.430000000000007"/>
    <x v="97"/>
    <n v="221.07376379999999"/>
    <n v="6.891"/>
    <x v="0"/>
  </r>
  <r>
    <x v="1"/>
    <x v="99"/>
    <n v="1935869.1"/>
    <n v="0"/>
    <n v="68.08"/>
    <x v="97"/>
    <n v="221.14840280000001"/>
    <n v="6.891"/>
    <x v="0"/>
  </r>
  <r>
    <x v="1"/>
    <x v="100"/>
    <n v="1847344.45"/>
    <n v="0"/>
    <n v="65.69"/>
    <x v="98"/>
    <n v="221.20210739999999"/>
    <n v="6.891"/>
    <x v="0"/>
  </r>
  <r>
    <x v="1"/>
    <x v="101"/>
    <n v="1764133.09"/>
    <n v="0"/>
    <n v="67.2"/>
    <x v="99"/>
    <n v="221.25581199999999"/>
    <n v="6.891"/>
    <x v="0"/>
  </r>
  <r>
    <x v="1"/>
    <x v="102"/>
    <n v="1923957.09"/>
    <n v="0"/>
    <n v="76.73"/>
    <x v="100"/>
    <n v="221.30951659999999"/>
    <n v="6.891"/>
    <x v="0"/>
  </r>
  <r>
    <x v="1"/>
    <x v="103"/>
    <n v="1917520.99"/>
    <n v="0"/>
    <n v="73.87"/>
    <x v="101"/>
    <n v="221.3632212"/>
    <n v="6.891"/>
    <x v="0"/>
  </r>
  <r>
    <x v="1"/>
    <x v="139"/>
    <n v="2000940.67"/>
    <n v="0"/>
    <n v="71.27"/>
    <x v="92"/>
    <n v="221.38033100000001"/>
    <n v="6.891"/>
    <x v="0"/>
  </r>
  <r>
    <x v="1"/>
    <x v="104"/>
    <n v="1912791.09"/>
    <n v="0"/>
    <n v="78.19"/>
    <x v="102"/>
    <n v="221.3828029"/>
    <n v="6.891"/>
    <x v="0"/>
  </r>
  <r>
    <x v="1"/>
    <x v="105"/>
    <n v="1910092.37"/>
    <n v="0"/>
    <n v="78.38"/>
    <x v="103"/>
    <n v="221.38527479999999"/>
    <n v="6.891"/>
    <x v="0"/>
  </r>
  <r>
    <x v="1"/>
    <x v="106"/>
    <n v="2010216.49"/>
    <n v="0"/>
    <n v="78.69"/>
    <x v="104"/>
    <n v="221.38774670000001"/>
    <n v="6.891"/>
    <x v="0"/>
  </r>
  <r>
    <x v="1"/>
    <x v="107"/>
    <n v="1962924.3"/>
    <n v="0"/>
    <n v="80.56"/>
    <x v="105"/>
    <n v="221.4009901"/>
    <n v="6.891"/>
    <x v="0"/>
  </r>
  <r>
    <x v="1"/>
    <x v="108"/>
    <n v="1887733.21"/>
    <n v="0"/>
    <n v="81.040000000000006"/>
    <x v="106"/>
    <n v="221.44116220000001"/>
    <n v="6.891"/>
    <x v="0"/>
  </r>
  <r>
    <x v="1"/>
    <x v="109"/>
    <n v="1881046.12"/>
    <n v="0"/>
    <n v="86.32"/>
    <x v="107"/>
    <n v="221.48133429999999"/>
    <n v="6.891"/>
    <x v="0"/>
  </r>
  <r>
    <x v="1"/>
    <x v="110"/>
    <n v="2041507.4"/>
    <n v="0"/>
    <n v="84.2"/>
    <x v="108"/>
    <n v="221.52150639999999"/>
    <n v="6.5650000000000004"/>
    <x v="0"/>
  </r>
  <r>
    <x v="1"/>
    <x v="111"/>
    <n v="1830075.13"/>
    <n v="0"/>
    <n v="80.17"/>
    <x v="109"/>
    <n v="221.56167840000001"/>
    <n v="6.5650000000000004"/>
    <x v="0"/>
  </r>
  <r>
    <x v="1"/>
    <x v="112"/>
    <n v="1819666.46"/>
    <n v="0"/>
    <n v="83.23"/>
    <x v="110"/>
    <n v="221.57011230000001"/>
    <n v="6.5650000000000004"/>
    <x v="0"/>
  </r>
  <r>
    <x v="1"/>
    <x v="113"/>
    <n v="1757923.88"/>
    <n v="0"/>
    <n v="86.37"/>
    <x v="111"/>
    <n v="221.57854610000001"/>
    <n v="6.5650000000000004"/>
    <x v="0"/>
  </r>
  <r>
    <x v="1"/>
    <x v="114"/>
    <n v="1946104.64"/>
    <n v="0"/>
    <n v="90.22"/>
    <x v="112"/>
    <n v="221.58697989999999"/>
    <n v="6.5650000000000004"/>
    <x v="0"/>
  </r>
  <r>
    <x v="1"/>
    <x v="115"/>
    <n v="1866719.96"/>
    <n v="0"/>
    <n v="88.55"/>
    <x v="113"/>
    <n v="221.59541379999999"/>
    <n v="6.5650000000000004"/>
    <x v="0"/>
  </r>
  <r>
    <x v="1"/>
    <x v="116"/>
    <n v="1928016.01"/>
    <n v="0"/>
    <n v="84.79"/>
    <x v="114"/>
    <n v="221.67514589999999"/>
    <n v="6.5650000000000004"/>
    <x v="0"/>
  </r>
  <r>
    <x v="1"/>
    <x v="117"/>
    <n v="1876788.15"/>
    <n v="0"/>
    <n v="76.91"/>
    <x v="115"/>
    <n v="221.8083518"/>
    <n v="6.5650000000000004"/>
    <x v="0"/>
  </r>
  <r>
    <x v="1"/>
    <x v="118"/>
    <n v="1947083.3"/>
    <n v="0"/>
    <n v="82.64"/>
    <x v="65"/>
    <n v="221.94155760000001"/>
    <n v="6.5650000000000004"/>
    <x v="0"/>
  </r>
  <r>
    <x v="1"/>
    <x v="119"/>
    <n v="1898777.07"/>
    <n v="1"/>
    <n v="87.65"/>
    <x v="116"/>
    <n v="222.07476349999999"/>
    <n v="6.5650000000000004"/>
    <x v="1"/>
  </r>
  <r>
    <x v="1"/>
    <x v="120"/>
    <n v="1814806.63"/>
    <n v="0"/>
    <n v="75.88"/>
    <x v="117"/>
    <n v="222.21743950000001"/>
    <n v="6.5650000000000004"/>
    <x v="0"/>
  </r>
  <r>
    <x v="1"/>
    <x v="121"/>
    <n v="1829415.67"/>
    <n v="0"/>
    <n v="71.09"/>
    <x v="118"/>
    <n v="222.41693620000001"/>
    <n v="6.5650000000000004"/>
    <x v="0"/>
  </r>
  <r>
    <x v="1"/>
    <x v="122"/>
    <n v="1746470.56"/>
    <n v="0"/>
    <n v="79.45"/>
    <x v="119"/>
    <n v="222.61643290000001"/>
    <n v="6.5650000000000004"/>
    <x v="0"/>
  </r>
  <r>
    <x v="1"/>
    <x v="123"/>
    <n v="1998321.04"/>
    <n v="0"/>
    <n v="70.27"/>
    <x v="120"/>
    <n v="222.8159296"/>
    <n v="6.17"/>
    <x v="0"/>
  </r>
  <r>
    <x v="1"/>
    <x v="124"/>
    <n v="1900745.13"/>
    <n v="0"/>
    <n v="60.97"/>
    <x v="121"/>
    <n v="223.0154263"/>
    <n v="6.17"/>
    <x v="0"/>
  </r>
  <r>
    <x v="1"/>
    <x v="125"/>
    <n v="1847990.41"/>
    <n v="0"/>
    <n v="68.08"/>
    <x v="58"/>
    <n v="223.05980769999999"/>
    <n v="6.17"/>
    <x v="0"/>
  </r>
  <r>
    <x v="1"/>
    <x v="126"/>
    <n v="1834458.35"/>
    <n v="0"/>
    <n v="69.790000000000006"/>
    <x v="122"/>
    <n v="223.0783366"/>
    <n v="6.17"/>
    <x v="0"/>
  </r>
  <r>
    <x v="2"/>
    <x v="0"/>
    <n v="461622.22"/>
    <n v="0"/>
    <n v="45.71"/>
    <x v="0"/>
    <n v="214.42488119999999"/>
    <n v="7.3680000000000003"/>
    <x v="0"/>
  </r>
  <r>
    <x v="2"/>
    <x v="1"/>
    <n v="420728.96"/>
    <n v="1"/>
    <n v="47.93"/>
    <x v="1"/>
    <n v="214.5747916"/>
    <n v="7.3680000000000003"/>
    <x v="1"/>
  </r>
  <r>
    <x v="2"/>
    <x v="2"/>
    <n v="421642.19"/>
    <n v="0"/>
    <n v="47.07"/>
    <x v="2"/>
    <n v="214.61988679999999"/>
    <n v="7.3680000000000003"/>
    <x v="0"/>
  </r>
  <r>
    <x v="2"/>
    <x v="3"/>
    <n v="407204.86"/>
    <n v="0"/>
    <n v="52.05"/>
    <x v="3"/>
    <n v="214.64751269999999"/>
    <n v="7.3680000000000003"/>
    <x v="0"/>
  </r>
  <r>
    <x v="2"/>
    <x v="4"/>
    <n v="415202.04"/>
    <n v="0"/>
    <n v="53.04"/>
    <x v="4"/>
    <n v="214.6751386"/>
    <n v="7.3680000000000003"/>
    <x v="0"/>
  </r>
  <r>
    <x v="2"/>
    <x v="5"/>
    <n v="384200.69"/>
    <n v="0"/>
    <n v="63.08"/>
    <x v="5"/>
    <n v="214.70276459999999"/>
    <n v="7.3680000000000003"/>
    <x v="0"/>
  </r>
  <r>
    <x v="2"/>
    <x v="6"/>
    <n v="375328.59"/>
    <n v="0"/>
    <n v="60.42"/>
    <x v="6"/>
    <n v="214.53012190000001"/>
    <n v="7.3680000000000003"/>
    <x v="0"/>
  </r>
  <r>
    <x v="2"/>
    <x v="7"/>
    <n v="359949.27"/>
    <n v="0"/>
    <n v="57.06"/>
    <x v="7"/>
    <n v="214.32410110000001"/>
    <n v="7.3680000000000003"/>
    <x v="0"/>
  </r>
  <r>
    <x v="2"/>
    <x v="9"/>
    <n v="415870.28"/>
    <n v="0"/>
    <n v="68"/>
    <x v="9"/>
    <n v="213.9120595"/>
    <n v="7.343"/>
    <x v="0"/>
  </r>
  <r>
    <x v="2"/>
    <x v="10"/>
    <n v="354993.26"/>
    <n v="0"/>
    <n v="66.98"/>
    <x v="10"/>
    <n v="213.77268889999999"/>
    <n v="7.343"/>
    <x v="0"/>
  </r>
  <r>
    <x v="2"/>
    <x v="11"/>
    <n v="339976.65"/>
    <n v="0"/>
    <n v="67.87"/>
    <x v="11"/>
    <n v="213.72218520000001"/>
    <n v="7.343"/>
    <x v="0"/>
  </r>
  <r>
    <x v="2"/>
    <x v="12"/>
    <n v="361248.39"/>
    <n v="0"/>
    <n v="70.239999999999995"/>
    <x v="12"/>
    <n v="213.67168150000001"/>
    <n v="7.343"/>
    <x v="0"/>
  </r>
  <r>
    <x v="2"/>
    <x v="13"/>
    <n v="399323.86"/>
    <n v="0"/>
    <n v="73.47"/>
    <x v="134"/>
    <n v="213.6211778"/>
    <n v="7.343"/>
    <x v="0"/>
  </r>
  <r>
    <x v="2"/>
    <x v="14"/>
    <n v="384357.94"/>
    <n v="0"/>
    <n v="77.180000000000007"/>
    <x v="14"/>
    <n v="213.61961389999999"/>
    <n v="7.343"/>
    <x v="0"/>
  </r>
  <r>
    <x v="2"/>
    <x v="19"/>
    <n v="364076.85"/>
    <n v="0"/>
    <n v="83.52"/>
    <x v="19"/>
    <n v="214.78582589999999"/>
    <n v="7.343"/>
    <x v="0"/>
  </r>
  <r>
    <x v="2"/>
    <x v="20"/>
    <n v="357346.48"/>
    <n v="0"/>
    <n v="83.79"/>
    <x v="20"/>
    <n v="214.6660741"/>
    <n v="7.343"/>
    <x v="0"/>
  </r>
  <r>
    <x v="2"/>
    <x v="21"/>
    <n v="381151.72"/>
    <n v="0"/>
    <n v="82.2"/>
    <x v="21"/>
    <n v="214.54632219999999"/>
    <n v="7.3460000000000001"/>
    <x v="0"/>
  </r>
  <r>
    <x v="2"/>
    <x v="140"/>
    <n v="352728.78"/>
    <n v="0"/>
    <n v="84.32"/>
    <x v="135"/>
    <n v="214.41764760000001"/>
    <n v="7.3460000000000001"/>
    <x v="0"/>
  </r>
  <r>
    <x v="2"/>
    <x v="22"/>
    <n v="352864.49"/>
    <n v="0"/>
    <n v="83.32"/>
    <x v="22"/>
    <n v="214.55649679999999"/>
    <n v="7.3460000000000001"/>
    <x v="0"/>
  </r>
  <r>
    <x v="2"/>
    <x v="23"/>
    <n v="402635.76"/>
    <n v="0"/>
    <n v="85.13"/>
    <x v="23"/>
    <n v="214.83419520000001"/>
    <n v="7.3460000000000001"/>
    <x v="0"/>
  </r>
  <r>
    <x v="2"/>
    <x v="25"/>
    <n v="351728.21"/>
    <n v="0"/>
    <n v="88.02"/>
    <x v="25"/>
    <n v="214.9314191"/>
    <n v="7.3460000000000001"/>
    <x v="0"/>
  </r>
  <r>
    <x v="2"/>
    <x v="26"/>
    <n v="362134.09"/>
    <n v="0"/>
    <n v="86.15"/>
    <x v="26"/>
    <n v="214.88979380000001"/>
    <n v="7.3460000000000001"/>
    <x v="0"/>
  </r>
  <r>
    <x v="2"/>
    <x v="141"/>
    <n v="352260.97"/>
    <n v="1"/>
    <n v="80.84"/>
    <x v="136"/>
    <n v="214.8065431"/>
    <n v="7.3460000000000001"/>
    <x v="1"/>
  </r>
  <r>
    <x v="2"/>
    <x v="130"/>
    <n v="363064.64"/>
    <n v="0"/>
    <n v="82.36"/>
    <x v="126"/>
    <n v="214.8322484"/>
    <n v="7.3460000000000001"/>
    <x v="0"/>
  </r>
  <r>
    <x v="2"/>
    <x v="28"/>
    <n v="395107.35"/>
    <n v="0"/>
    <n v="66.989999999999995"/>
    <x v="28"/>
    <n v="215.060858"/>
    <n v="7.5640000000000001"/>
    <x v="0"/>
  </r>
  <r>
    <x v="2"/>
    <x v="29"/>
    <n v="345584.39"/>
    <n v="0"/>
    <n v="69.709999999999994"/>
    <x v="6"/>
    <n v="215.12931140000001"/>
    <n v="7.5640000000000001"/>
    <x v="0"/>
  </r>
  <r>
    <x v="2"/>
    <x v="142"/>
    <n v="423175.56"/>
    <n v="0"/>
    <n v="62.94"/>
    <x v="137"/>
    <n v="215.27654720000001"/>
    <n v="7.5640000000000001"/>
    <x v="0"/>
  </r>
  <r>
    <x v="2"/>
    <x v="31"/>
    <n v="386635.03"/>
    <n v="0"/>
    <n v="62.79"/>
    <x v="30"/>
    <n v="215.32562580000001"/>
    <n v="7.5640000000000001"/>
    <x v="0"/>
  </r>
  <r>
    <x v="2"/>
    <x v="33"/>
    <n v="565567.84"/>
    <n v="1"/>
    <n v="68.709999999999994"/>
    <x v="32"/>
    <n v="215.06140250000001"/>
    <n v="7.5640000000000001"/>
    <x v="1"/>
  </r>
  <r>
    <x v="2"/>
    <x v="36"/>
    <n v="498159.39"/>
    <n v="0"/>
    <n v="52.2"/>
    <x v="35"/>
    <n v="214.70491899999999"/>
    <n v="7.5640000000000001"/>
    <x v="0"/>
  </r>
  <r>
    <x v="2"/>
    <x v="37"/>
    <n v="605990.41"/>
    <n v="0"/>
    <n v="57.16"/>
    <x v="36"/>
    <n v="214.70178279999999"/>
    <n v="7.5640000000000001"/>
    <x v="0"/>
  </r>
  <r>
    <x v="2"/>
    <x v="38"/>
    <n v="382677.76000000001"/>
    <n v="1"/>
    <n v="53.2"/>
    <x v="37"/>
    <n v="214.69864659999999"/>
    <n v="7.5640000000000001"/>
    <x v="1"/>
  </r>
  <r>
    <x v="2"/>
    <x v="39"/>
    <n v="378241.34"/>
    <n v="0"/>
    <n v="53.35"/>
    <x v="38"/>
    <n v="214.69551039999999"/>
    <n v="7.5510000000000002"/>
    <x v="0"/>
  </r>
  <r>
    <x v="2"/>
    <x v="133"/>
    <n v="381061.1"/>
    <n v="0"/>
    <n v="44.76"/>
    <x v="129"/>
    <n v="214.74707290000001"/>
    <n v="7.5510000000000002"/>
    <x v="0"/>
  </r>
  <r>
    <x v="2"/>
    <x v="40"/>
    <n v="350876.7"/>
    <n v="0"/>
    <n v="50.74"/>
    <x v="39"/>
    <n v="215.12682749999999"/>
    <n v="7.5510000000000002"/>
    <x v="0"/>
  </r>
  <r>
    <x v="2"/>
    <x v="41"/>
    <n v="364866.24"/>
    <n v="0"/>
    <n v="48.71"/>
    <x v="40"/>
    <n v="215.5065821"/>
    <n v="7.5510000000000002"/>
    <x v="0"/>
  </r>
  <r>
    <x v="2"/>
    <x v="134"/>
    <n v="438516.53"/>
    <n v="0"/>
    <n v="45.95"/>
    <x v="130"/>
    <n v="215.88633669999999"/>
    <n v="7.5510000000000002"/>
    <x v="0"/>
  </r>
  <r>
    <x v="2"/>
    <x v="42"/>
    <n v="430526.21"/>
    <n v="1"/>
    <n v="43.57"/>
    <x v="41"/>
    <n v="216.2660913"/>
    <n v="7.5510000000000002"/>
    <x v="1"/>
  </r>
  <r>
    <x v="2"/>
    <x v="43"/>
    <n v="432782.1"/>
    <n v="0"/>
    <n v="61.58"/>
    <x v="42"/>
    <n v="216.58435710000001"/>
    <n v="7.5510000000000002"/>
    <x v="0"/>
  </r>
  <r>
    <x v="2"/>
    <x v="44"/>
    <n v="397211.19"/>
    <n v="0"/>
    <n v="67.400000000000006"/>
    <x v="43"/>
    <n v="216.8780275"/>
    <n v="7.5510000000000002"/>
    <x v="0"/>
  </r>
  <r>
    <x v="2"/>
    <x v="45"/>
    <n v="437084.51"/>
    <n v="0"/>
    <n v="65.11"/>
    <x v="44"/>
    <n v="217.1716979"/>
    <n v="7.5510000000000002"/>
    <x v="0"/>
  </r>
  <r>
    <x v="2"/>
    <x v="135"/>
    <n v="404753.3"/>
    <n v="0"/>
    <n v="61.29"/>
    <x v="131"/>
    <n v="217.46536829999999"/>
    <n v="7.5510000000000002"/>
    <x v="0"/>
  </r>
  <r>
    <x v="2"/>
    <x v="46"/>
    <n v="392109.51"/>
    <n v="0"/>
    <n v="69.47"/>
    <x v="45"/>
    <n v="217.7235226"/>
    <n v="7.5510000000000002"/>
    <x v="0"/>
  </r>
  <r>
    <x v="2"/>
    <x v="47"/>
    <n v="380683.67"/>
    <n v="0"/>
    <n v="72.94"/>
    <x v="46"/>
    <n v="217.96747049999999"/>
    <n v="7.5510000000000002"/>
    <x v="0"/>
  </r>
  <r>
    <x v="2"/>
    <x v="136"/>
    <n v="374556.08"/>
    <n v="0"/>
    <n v="68.760000000000005"/>
    <x v="59"/>
    <n v="218.21141840000001"/>
    <n v="7.5739999999999998"/>
    <x v="0"/>
  </r>
  <r>
    <x v="2"/>
    <x v="48"/>
    <n v="384075.31"/>
    <n v="0"/>
    <n v="72.55"/>
    <x v="47"/>
    <n v="218.45536630000001"/>
    <n v="7.5739999999999998"/>
    <x v="0"/>
  </r>
  <r>
    <x v="2"/>
    <x v="49"/>
    <n v="366250.69"/>
    <n v="0"/>
    <n v="75.88"/>
    <x v="48"/>
    <n v="218.67886419999999"/>
    <n v="7.5739999999999998"/>
    <x v="0"/>
  </r>
  <r>
    <x v="2"/>
    <x v="50"/>
    <n v="391860.04"/>
    <n v="0"/>
    <n v="76.91"/>
    <x v="49"/>
    <n v="218.851237"/>
    <n v="7.5739999999999998"/>
    <x v="0"/>
  </r>
  <r>
    <x v="2"/>
    <x v="51"/>
    <n v="367405.4"/>
    <n v="0"/>
    <n v="78.69"/>
    <x v="50"/>
    <n v="219.0236099"/>
    <n v="7.5739999999999998"/>
    <x v="0"/>
  </r>
  <r>
    <x v="2"/>
    <x v="52"/>
    <n v="413042.12"/>
    <n v="0"/>
    <n v="69.45"/>
    <x v="51"/>
    <n v="219.1959827"/>
    <n v="7.5739999999999998"/>
    <x v="0"/>
  </r>
  <r>
    <x v="2"/>
    <x v="53"/>
    <n v="386312.68"/>
    <n v="0"/>
    <n v="79.87"/>
    <x v="52"/>
    <n v="219.3683556"/>
    <n v="7.5739999999999998"/>
    <x v="0"/>
  </r>
  <r>
    <x v="2"/>
    <x v="54"/>
    <n v="364603.13"/>
    <n v="0"/>
    <n v="75.790000000000006"/>
    <x v="53"/>
    <n v="219.127216"/>
    <n v="7.5739999999999998"/>
    <x v="0"/>
  </r>
  <r>
    <x v="2"/>
    <x v="55"/>
    <n v="369350.6"/>
    <n v="0"/>
    <n v="84.41"/>
    <x v="54"/>
    <n v="218.8860765"/>
    <n v="7.5739999999999998"/>
    <x v="0"/>
  </r>
  <r>
    <x v="2"/>
    <x v="56"/>
    <n v="394507.84"/>
    <n v="0"/>
    <n v="84.29"/>
    <x v="55"/>
    <n v="218.6449369"/>
    <n v="7.5739999999999998"/>
    <x v="0"/>
  </r>
  <r>
    <x v="2"/>
    <x v="57"/>
    <n v="391638.75"/>
    <n v="0"/>
    <n v="84.84"/>
    <x v="56"/>
    <n v="218.4037974"/>
    <n v="7.5739999999999998"/>
    <x v="0"/>
  </r>
  <r>
    <x v="2"/>
    <x v="58"/>
    <n v="403423.34"/>
    <n v="0"/>
    <n v="86.96"/>
    <x v="57"/>
    <n v="218.35517479999999"/>
    <n v="7.5739999999999998"/>
    <x v="0"/>
  </r>
  <r>
    <x v="2"/>
    <x v="59"/>
    <n v="385520.71"/>
    <n v="0"/>
    <n v="84.94"/>
    <x v="58"/>
    <n v="218.45094"/>
    <n v="7.5739999999999998"/>
    <x v="0"/>
  </r>
  <r>
    <x v="2"/>
    <x v="60"/>
    <n v="368962.72"/>
    <n v="0"/>
    <n v="85.1"/>
    <x v="59"/>
    <n v="218.54670519999999"/>
    <n v="7.5670000000000002"/>
    <x v="0"/>
  </r>
  <r>
    <x v="2"/>
    <x v="61"/>
    <n v="395146.23999999999"/>
    <n v="0"/>
    <n v="85.38"/>
    <x v="60"/>
    <n v="218.64247040000001"/>
    <n v="7.5670000000000002"/>
    <x v="0"/>
  </r>
  <r>
    <x v="2"/>
    <x v="62"/>
    <n v="373454.33"/>
    <n v="0"/>
    <n v="87.14"/>
    <x v="61"/>
    <n v="218.72752159999999"/>
    <n v="7.5670000000000002"/>
    <x v="0"/>
  </r>
  <r>
    <x v="2"/>
    <x v="63"/>
    <n v="360617.37"/>
    <n v="0"/>
    <n v="86.19"/>
    <x v="62"/>
    <n v="218.78578809999999"/>
    <n v="7.5670000000000002"/>
    <x v="0"/>
  </r>
  <r>
    <x v="2"/>
    <x v="64"/>
    <n v="345381.29"/>
    <n v="0"/>
    <n v="88.07"/>
    <x v="63"/>
    <n v="218.8440545"/>
    <n v="7.5670000000000002"/>
    <x v="0"/>
  </r>
  <r>
    <x v="2"/>
    <x v="65"/>
    <n v="409981.25"/>
    <n v="0"/>
    <n v="88.45"/>
    <x v="64"/>
    <n v="218.90232090000001"/>
    <n v="7.5670000000000002"/>
    <x v="0"/>
  </r>
  <r>
    <x v="2"/>
    <x v="66"/>
    <n v="380376.85"/>
    <n v="0"/>
    <n v="88.88"/>
    <x v="65"/>
    <n v="218.96058729999999"/>
    <n v="7.5670000000000002"/>
    <x v="0"/>
  </r>
  <r>
    <x v="2"/>
    <x v="67"/>
    <n v="379716.91"/>
    <n v="0"/>
    <n v="88.44"/>
    <x v="66"/>
    <n v="219.02327099999999"/>
    <n v="7.5670000000000002"/>
    <x v="0"/>
  </r>
  <r>
    <x v="2"/>
    <x v="68"/>
    <n v="366367.55"/>
    <n v="0"/>
    <n v="87.67"/>
    <x v="67"/>
    <n v="219.08669080000001"/>
    <n v="7.5670000000000002"/>
    <x v="0"/>
  </r>
  <r>
    <x v="2"/>
    <x v="69"/>
    <n v="375988.69"/>
    <n v="0"/>
    <n v="89.12"/>
    <x v="68"/>
    <n v="219.1501106"/>
    <n v="7.5670000000000002"/>
    <x v="0"/>
  </r>
  <r>
    <x v="2"/>
    <x v="70"/>
    <n v="377347.49"/>
    <n v="1"/>
    <n v="81.72"/>
    <x v="69"/>
    <n v="219.21353049999999"/>
    <n v="7.5670000000000002"/>
    <x v="1"/>
  </r>
  <r>
    <x v="2"/>
    <x v="71"/>
    <n v="375629.51"/>
    <n v="0"/>
    <n v="83.63"/>
    <x v="70"/>
    <n v="219.3972867"/>
    <n v="7.5670000000000002"/>
    <x v="0"/>
  </r>
  <r>
    <x v="2"/>
    <x v="72"/>
    <n v="365248.94"/>
    <n v="0"/>
    <n v="80.19"/>
    <x v="71"/>
    <n v="219.7414914"/>
    <n v="7.5670000000000002"/>
    <x v="0"/>
  </r>
  <r>
    <x v="2"/>
    <x v="73"/>
    <n v="368477.93"/>
    <n v="0"/>
    <n v="82.58"/>
    <x v="72"/>
    <n v="220.08569600000001"/>
    <n v="7.5670000000000002"/>
    <x v="0"/>
  </r>
  <r>
    <x v="2"/>
    <x v="75"/>
    <n v="368282.57"/>
    <n v="0"/>
    <n v="73.75"/>
    <x v="74"/>
    <n v="220.74861670000001"/>
    <n v="7.1970000000000001"/>
    <x v="0"/>
  </r>
  <r>
    <x v="2"/>
    <x v="76"/>
    <n v="394976.36"/>
    <n v="0"/>
    <n v="69.03"/>
    <x v="75"/>
    <n v="220.9144005"/>
    <n v="7.1970000000000001"/>
    <x v="0"/>
  </r>
  <r>
    <x v="2"/>
    <x v="137"/>
    <n v="389540.62"/>
    <n v="0"/>
    <n v="71.040000000000006"/>
    <x v="132"/>
    <n v="221.08018419999999"/>
    <n v="7.1970000000000001"/>
    <x v="0"/>
  </r>
  <r>
    <x v="2"/>
    <x v="77"/>
    <n v="459443.22"/>
    <n v="0"/>
    <n v="59.31"/>
    <x v="76"/>
    <n v="221.245968"/>
    <n v="7.1970000000000001"/>
    <x v="0"/>
  </r>
  <r>
    <x v="2"/>
    <x v="78"/>
    <n v="407764.25"/>
    <n v="0"/>
    <n v="61.7"/>
    <x v="77"/>
    <n v="221.4117517"/>
    <n v="7.1970000000000001"/>
    <x v="0"/>
  </r>
  <r>
    <x v="2"/>
    <x v="138"/>
    <n v="398838.97"/>
    <n v="0"/>
    <n v="63.91"/>
    <x v="133"/>
    <n v="221.64328520000001"/>
    <n v="7.1970000000000001"/>
    <x v="0"/>
  </r>
  <r>
    <x v="2"/>
    <x v="79"/>
    <n v="556925.18999999994"/>
    <n v="1"/>
    <n v="68"/>
    <x v="78"/>
    <n v="221.9011185"/>
    <n v="7.1970000000000001"/>
    <x v="1"/>
  </r>
  <r>
    <x v="2"/>
    <x v="80"/>
    <n v="472511.32"/>
    <n v="0"/>
    <n v="54.97"/>
    <x v="79"/>
    <n v="222.15895190000001"/>
    <n v="7.1970000000000001"/>
    <x v="0"/>
  </r>
  <r>
    <x v="2"/>
    <x v="81"/>
    <n v="468772.8"/>
    <n v="0"/>
    <n v="49.26"/>
    <x v="80"/>
    <n v="222.41678519999999"/>
    <n v="7.1970000000000001"/>
    <x v="0"/>
  </r>
  <r>
    <x v="2"/>
    <x v="82"/>
    <n v="510747.62"/>
    <n v="0"/>
    <n v="57.95"/>
    <x v="81"/>
    <n v="222.64264180000001"/>
    <n v="7.1970000000000001"/>
    <x v="0"/>
  </r>
  <r>
    <x v="2"/>
    <x v="83"/>
    <n v="551221.21"/>
    <n v="0"/>
    <n v="53.41"/>
    <x v="82"/>
    <n v="222.82586280000001"/>
    <n v="7.1970000000000001"/>
    <x v="0"/>
  </r>
  <r>
    <x v="2"/>
    <x v="84"/>
    <n v="410553.88"/>
    <n v="1"/>
    <n v="48.29"/>
    <x v="83"/>
    <n v="223.00908390000001"/>
    <n v="7.1970000000000001"/>
    <x v="1"/>
  </r>
  <r>
    <x v="2"/>
    <x v="85"/>
    <n v="398178.21"/>
    <n v="0"/>
    <n v="52.42"/>
    <x v="84"/>
    <n v="223.19230490000001"/>
    <n v="6.8330000000000002"/>
    <x v="0"/>
  </r>
  <r>
    <x v="2"/>
    <x v="86"/>
    <n v="367438.62"/>
    <n v="0"/>
    <n v="51.86"/>
    <x v="85"/>
    <n v="223.37552590000001"/>
    <n v="6.8330000000000002"/>
    <x v="0"/>
  </r>
  <r>
    <x v="2"/>
    <x v="87"/>
    <n v="365818.61"/>
    <n v="0"/>
    <n v="56.2"/>
    <x v="86"/>
    <n v="223.47005519999999"/>
    <n v="6.8330000000000002"/>
    <x v="0"/>
  </r>
  <r>
    <x v="2"/>
    <x v="88"/>
    <n v="349518.1"/>
    <n v="0"/>
    <n v="58.06"/>
    <x v="87"/>
    <n v="223.5645845"/>
    <n v="6.8330000000000002"/>
    <x v="0"/>
  </r>
  <r>
    <x v="2"/>
    <x v="89"/>
    <n v="424960.66"/>
    <n v="0"/>
    <n v="59.33"/>
    <x v="88"/>
    <n v="223.65911370000001"/>
    <n v="6.8330000000000002"/>
    <x v="0"/>
  </r>
  <r>
    <x v="2"/>
    <x v="90"/>
    <n v="473292.47"/>
    <n v="1"/>
    <n v="51.65"/>
    <x v="89"/>
    <n v="223.75364300000001"/>
    <n v="6.8330000000000002"/>
    <x v="1"/>
  </r>
  <r>
    <x v="2"/>
    <x v="91"/>
    <n v="475591.08"/>
    <n v="0"/>
    <n v="52.39"/>
    <x v="90"/>
    <n v="223.9170153"/>
    <n v="6.8330000000000002"/>
    <x v="0"/>
  </r>
  <r>
    <x v="2"/>
    <x v="92"/>
    <n v="418925.47"/>
    <n v="0"/>
    <n v="60.12"/>
    <x v="91"/>
    <n v="224.13201989999999"/>
    <n v="6.8330000000000002"/>
    <x v="0"/>
  </r>
  <r>
    <x v="2"/>
    <x v="93"/>
    <n v="469752.56"/>
    <n v="0"/>
    <n v="61.65"/>
    <x v="92"/>
    <n v="224.3470245"/>
    <n v="6.8330000000000002"/>
    <x v="0"/>
  </r>
  <r>
    <x v="2"/>
    <x v="94"/>
    <n v="445162.05"/>
    <n v="0"/>
    <n v="60.71"/>
    <x v="93"/>
    <n v="224.56202909999999"/>
    <n v="6.8330000000000002"/>
    <x v="0"/>
  </r>
  <r>
    <x v="2"/>
    <x v="95"/>
    <n v="411775.8"/>
    <n v="0"/>
    <n v="64"/>
    <x v="94"/>
    <n v="224.7166953"/>
    <n v="6.8330000000000002"/>
    <x v="0"/>
  </r>
  <r>
    <x v="2"/>
    <x v="97"/>
    <n v="407488.84"/>
    <n v="0"/>
    <n v="69.36"/>
    <x v="96"/>
    <n v="224.86512540000001"/>
    <n v="6.8330000000000002"/>
    <x v="0"/>
  </r>
  <r>
    <x v="2"/>
    <x v="98"/>
    <n v="503232.13"/>
    <n v="0"/>
    <n v="73.010000000000005"/>
    <x v="97"/>
    <n v="224.93934049999999"/>
    <n v="6.6639999999999997"/>
    <x v="0"/>
  </r>
  <r>
    <x v="0"/>
    <x v="114"/>
    <n v="1631135.79"/>
    <n v="0"/>
    <n v="86.11"/>
    <x v="112"/>
    <n v="221.94986420000001"/>
    <n v="6.9080000000000004"/>
    <x v="0"/>
  </r>
  <r>
    <x v="0"/>
    <x v="115"/>
    <n v="1592409.97"/>
    <n v="0"/>
    <n v="85.05"/>
    <x v="113"/>
    <n v="221.95843289999999"/>
    <n v="6.9080000000000004"/>
    <x v="0"/>
  </r>
  <r>
    <x v="0"/>
    <x v="116"/>
    <n v="1597868.05"/>
    <n v="0"/>
    <n v="84.85"/>
    <x v="114"/>
    <n v="222.0384109"/>
    <n v="6.9080000000000004"/>
    <x v="0"/>
  </r>
  <r>
    <x v="0"/>
    <x v="117"/>
    <n v="1494122.38"/>
    <n v="0"/>
    <n v="77.66"/>
    <x v="115"/>
    <n v="222.17194570000001"/>
    <n v="6.9080000000000004"/>
    <x v="0"/>
  </r>
  <r>
    <x v="0"/>
    <x v="118"/>
    <n v="1582083.4"/>
    <n v="0"/>
    <n v="80.489999999999995"/>
    <x v="65"/>
    <n v="222.30548049999999"/>
    <n v="6.9080000000000004"/>
    <x v="0"/>
  </r>
  <r>
    <x v="0"/>
    <x v="119"/>
    <n v="1661767.33"/>
    <n v="1"/>
    <n v="83.96"/>
    <x v="116"/>
    <n v="222.43901529999999"/>
    <n v="6.9080000000000004"/>
    <x v="1"/>
  </r>
  <r>
    <x v="0"/>
    <x v="120"/>
    <n v="1517428.87"/>
    <n v="0"/>
    <n v="74.97"/>
    <x v="117"/>
    <n v="222.58201930000001"/>
    <n v="6.9080000000000004"/>
    <x v="0"/>
  </r>
  <r>
    <x v="0"/>
    <x v="121"/>
    <n v="1506126.06"/>
    <n v="0"/>
    <n v="69.87"/>
    <x v="118"/>
    <n v="222.78183859999999"/>
    <n v="6.9080000000000004"/>
    <x v="0"/>
  </r>
  <r>
    <x v="0"/>
    <x v="122"/>
    <n v="1437059.26"/>
    <n v="0"/>
    <n v="76.08"/>
    <x v="119"/>
    <n v="222.98165789999999"/>
    <n v="6.9080000000000004"/>
    <x v="0"/>
  </r>
  <r>
    <x v="0"/>
    <x v="123"/>
    <n v="1670785.97"/>
    <n v="0"/>
    <n v="68.55"/>
    <x v="120"/>
    <n v="223.18147719999999"/>
    <n v="6.5730000000000004"/>
    <x v="0"/>
  </r>
  <r>
    <x v="0"/>
    <x v="124"/>
    <n v="1573072.81"/>
    <n v="0"/>
    <n v="62.99"/>
    <x v="121"/>
    <n v="223.38129649999999"/>
    <n v="6.5730000000000004"/>
    <x v="0"/>
  </r>
  <r>
    <x v="1"/>
    <x v="28"/>
    <n v="1849921.44"/>
    <n v="0"/>
    <n v="63.19"/>
    <x v="28"/>
    <n v="211.4044906"/>
    <n v="8.1630000000000003"/>
    <x v="0"/>
  </r>
  <r>
    <x v="1"/>
    <x v="29"/>
    <n v="1794355.49"/>
    <n v="0"/>
    <n v="65.8"/>
    <x v="6"/>
    <n v="211.47132859999999"/>
    <n v="8.1630000000000003"/>
    <x v="0"/>
  </r>
  <r>
    <x v="1"/>
    <x v="30"/>
    <n v="1737947.64"/>
    <n v="0"/>
    <n v="68.5"/>
    <x v="29"/>
    <n v="211.51872080000001"/>
    <n v="8.1630000000000003"/>
    <x v="0"/>
  </r>
  <r>
    <x v="1"/>
    <x v="132"/>
    <n v="1802755.11"/>
    <n v="0"/>
    <n v="66.239999999999995"/>
    <x v="128"/>
    <n v="211.5661131"/>
    <n v="8.1630000000000003"/>
    <x v="0"/>
  </r>
  <r>
    <x v="1"/>
    <x v="142"/>
    <n v="1939061.41"/>
    <n v="0"/>
    <n v="57.85"/>
    <x v="137"/>
    <n v="211.61350530000001"/>
    <n v="8.1630000000000003"/>
    <x v="0"/>
  </r>
  <r>
    <x v="1"/>
    <x v="31"/>
    <n v="1916812.74"/>
    <n v="0"/>
    <n v="59.69"/>
    <x v="30"/>
    <n v="211.6608975"/>
    <n v="8.1630000000000003"/>
    <x v="0"/>
  </r>
  <r>
    <x v="1"/>
    <x v="32"/>
    <n v="1956739.17"/>
    <n v="0"/>
    <n v="50.81"/>
    <x v="31"/>
    <n v="211.54703040000001"/>
    <n v="8.1630000000000003"/>
    <x v="0"/>
  </r>
  <r>
    <x v="1"/>
    <x v="33"/>
    <n v="2658725.29"/>
    <n v="1"/>
    <n v="62.98"/>
    <x v="32"/>
    <n v="211.40628670000001"/>
    <n v="8.1630000000000003"/>
    <x v="1"/>
  </r>
  <r>
    <x v="1"/>
    <x v="34"/>
    <n v="2015781.27"/>
    <n v="0"/>
    <n v="49.33"/>
    <x v="33"/>
    <n v="211.26554300000001"/>
    <n v="8.1630000000000003"/>
    <x v="0"/>
  </r>
  <r>
    <x v="1"/>
    <x v="35"/>
    <n v="2378726.5499999998"/>
    <n v="0"/>
    <n v="45.5"/>
    <x v="34"/>
    <n v="211.12479930000001"/>
    <n v="8.1630000000000003"/>
    <x v="0"/>
  </r>
  <r>
    <x v="1"/>
    <x v="36"/>
    <n v="2609166.75"/>
    <n v="0"/>
    <n v="47.55"/>
    <x v="35"/>
    <n v="211.06454579999999"/>
    <n v="8.1630000000000003"/>
    <x v="0"/>
  </r>
  <r>
    <x v="2"/>
    <x v="19"/>
    <n v="364076.85"/>
    <n v="0"/>
    <n v="83.52"/>
    <x v="19"/>
    <n v="214.78582589999999"/>
    <n v="7.343"/>
    <x v="0"/>
  </r>
  <r>
    <x v="2"/>
    <x v="20"/>
    <n v="357346.48"/>
    <n v="0"/>
    <n v="83.79"/>
    <x v="20"/>
    <n v="214.6660741"/>
    <n v="7.343"/>
    <x v="0"/>
  </r>
  <r>
    <x v="2"/>
    <x v="21"/>
    <n v="381151.72"/>
    <n v="0"/>
    <n v="82.2"/>
    <x v="21"/>
    <n v="214.54632219999999"/>
    <n v="7.3460000000000001"/>
    <x v="0"/>
  </r>
  <r>
    <x v="2"/>
    <x v="127"/>
    <n v="349214.18"/>
    <n v="0"/>
    <n v="81.75"/>
    <x v="123"/>
    <n v="214.4265704"/>
    <n v="7.3460000000000001"/>
    <x v="0"/>
  </r>
  <r>
    <x v="2"/>
    <x v="140"/>
    <n v="352728.78"/>
    <n v="0"/>
    <n v="84.32"/>
    <x v="135"/>
    <n v="214.41764760000001"/>
    <n v="7.3460000000000001"/>
    <x v="0"/>
  </r>
  <r>
    <x v="2"/>
    <x v="22"/>
    <n v="352864.49"/>
    <n v="0"/>
    <n v="83.32"/>
    <x v="22"/>
    <n v="214.55649679999999"/>
    <n v="7.3460000000000001"/>
    <x v="0"/>
  </r>
  <r>
    <x v="2"/>
    <x v="128"/>
    <n v="347955.05"/>
    <n v="0"/>
    <n v="82.04"/>
    <x v="124"/>
    <n v="214.695346"/>
    <n v="7.3460000000000001"/>
    <x v="0"/>
  </r>
  <r>
    <x v="2"/>
    <x v="23"/>
    <n v="402635.76"/>
    <n v="0"/>
    <n v="85.13"/>
    <x v="23"/>
    <n v="214.83419520000001"/>
    <n v="7.3460000000000001"/>
    <x v="0"/>
  </r>
  <r>
    <x v="2"/>
    <x v="24"/>
    <n v="339597.38"/>
    <n v="0"/>
    <n v="86.74"/>
    <x v="24"/>
    <n v="214.97304439999999"/>
    <n v="7.3460000000000001"/>
    <x v="0"/>
  </r>
  <r>
    <x v="2"/>
    <x v="25"/>
    <n v="351728.21"/>
    <n v="0"/>
    <n v="88.02"/>
    <x v="25"/>
    <n v="214.9314191"/>
    <n v="7.3460000000000001"/>
    <x v="0"/>
  </r>
  <r>
    <x v="2"/>
    <x v="26"/>
    <n v="362134.09"/>
    <n v="0"/>
    <n v="86.15"/>
    <x v="26"/>
    <n v="214.88979380000001"/>
    <n v="7.34600000000000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EDFDF2-83F7-4419-8DCB-C508F4EA6F56}" name="PivotTable_SalesOnHolidayVsNormalDa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20:C23" firstHeaderRow="1" firstDataRow="1" firstDataCol="1"/>
  <pivotFields count="9">
    <pivotField showAll="0"/>
    <pivotField numFmtId="14" showAll="0"/>
    <pivotField dataField="1" showAll="0"/>
    <pivotField showAll="0"/>
    <pivotField showAll="0"/>
    <pivotField showAll="0"/>
    <pivotField showAll="0"/>
    <pivotField showAll="0"/>
    <pivotField axis="axisRow" showAll="0">
      <items count="3">
        <item x="1"/>
        <item x="0"/>
        <item t="default"/>
      </items>
    </pivotField>
  </pivotFields>
  <rowFields count="1">
    <field x="8"/>
  </rowFields>
  <rowItems count="3">
    <i>
      <x/>
    </i>
    <i>
      <x v="1"/>
    </i>
    <i t="grand">
      <x/>
    </i>
  </rowItems>
  <colItems count="1">
    <i/>
  </colItems>
  <dataFields count="1">
    <dataField name="Sum of Weekly_Sales" fld="2" baseField="0" baseItem="0" numFmtId="164"/>
  </dataFields>
  <formats count="1">
    <format dxfId="4">
      <pivotArea outline="0" collapsedLevelsAreSubtotals="1" fieldPosition="0"/>
    </format>
  </formats>
  <chartFormats count="38">
    <chartFormat chart="2" format="11"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8" count="1" selected="0">
            <x v="1"/>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8" count="1" selected="0">
            <x v="1"/>
          </reference>
        </references>
      </pivotArea>
    </chartFormat>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8" count="1" selected="0">
            <x v="1"/>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8" count="1" selected="0">
            <x v="1"/>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8" count="1" selected="0">
            <x v="1"/>
          </reference>
        </references>
      </pivotArea>
    </chartFormat>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8" count="1" selected="0">
            <x v="1"/>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8" count="1" selected="0">
            <x v="1"/>
          </reference>
        </references>
      </pivotArea>
    </chartFormat>
    <chartFormat chart="15" format="13">
      <pivotArea type="data" outline="0" fieldPosition="0">
        <references count="2">
          <reference field="4294967294" count="1" selected="0">
            <x v="0"/>
          </reference>
          <reference field="8" count="1" selected="0">
            <x v="0"/>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8" count="1" selected="0">
            <x v="1"/>
          </reference>
        </references>
      </pivotArea>
    </chartFormat>
    <chartFormat chart="16" format="13">
      <pivotArea type="data" outline="0" fieldPosition="0">
        <references count="2">
          <reference field="4294967294" count="1" selected="0">
            <x v="0"/>
          </reference>
          <reference field="8" count="1" selected="0">
            <x v="0"/>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8" count="1" selected="0">
            <x v="1"/>
          </reference>
        </references>
      </pivotArea>
    </chartFormat>
    <chartFormat chart="17" format="13">
      <pivotArea type="data" outline="0" fieldPosition="0">
        <references count="2">
          <reference field="4294967294" count="1" selected="0">
            <x v="0"/>
          </reference>
          <reference field="8" count="1" selected="0">
            <x v="0"/>
          </reference>
        </references>
      </pivotArea>
    </chartFormat>
    <chartFormat chart="18" format="11" series="1">
      <pivotArea type="data" outline="0" fieldPosition="0">
        <references count="1">
          <reference field="4294967294" count="1" selected="0">
            <x v="0"/>
          </reference>
        </references>
      </pivotArea>
    </chartFormat>
    <chartFormat chart="18" format="12">
      <pivotArea type="data" outline="0" fieldPosition="0">
        <references count="2">
          <reference field="4294967294" count="1" selected="0">
            <x v="0"/>
          </reference>
          <reference field="8" count="1" selected="0">
            <x v="0"/>
          </reference>
        </references>
      </pivotArea>
    </chartFormat>
    <chartFormat chart="18" format="13">
      <pivotArea type="data" outline="0" fieldPosition="0">
        <references count="2">
          <reference field="4294967294" count="1" selected="0">
            <x v="0"/>
          </reference>
          <reference field="8" count="1" selected="0">
            <x v="1"/>
          </reference>
        </references>
      </pivotArea>
    </chartFormat>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8" count="1" selected="0">
            <x v="0"/>
          </reference>
        </references>
      </pivotArea>
    </chartFormat>
    <chartFormat chart="19" format="13">
      <pivotArea type="data" outline="0" fieldPosition="0">
        <references count="2">
          <reference field="4294967294" count="1" selected="0">
            <x v="0"/>
          </reference>
          <reference field="8" count="1" selected="0">
            <x v="1"/>
          </reference>
        </references>
      </pivotArea>
    </chartFormat>
    <chartFormat chart="20" format="11" series="1">
      <pivotArea type="data" outline="0" fieldPosition="0">
        <references count="1">
          <reference field="4294967294" count="1" selected="0">
            <x v="0"/>
          </reference>
        </references>
      </pivotArea>
    </chartFormat>
    <chartFormat chart="20" format="12">
      <pivotArea type="data" outline="0" fieldPosition="0">
        <references count="2">
          <reference field="4294967294" count="1" selected="0">
            <x v="0"/>
          </reference>
          <reference field="8" count="1" selected="0">
            <x v="0"/>
          </reference>
        </references>
      </pivotArea>
    </chartFormat>
    <chartFormat chart="20" format="1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E73E2-317E-4D14-A5D1-CDC1A1FFB089}" name="PivotTable2_AverageSalesBySt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17" firstHeaderRow="1" firstDataRow="1" firstDataCol="1"/>
  <pivotFields count="9">
    <pivotField axis="axisRow" showAll="0">
      <items count="4">
        <item x="0"/>
        <item x="1"/>
        <item x="2"/>
        <item t="default"/>
      </items>
    </pivotField>
    <pivotField numFmtId="14" showAll="0"/>
    <pivotField dataField="1"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Average of Weekly_Sales" fld="2" subtotal="average"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315311-BF26-4998-B0E9-441D913C620E}" name="PivotTable1_TotalSalesBySt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C10" firstHeaderRow="1" firstDataRow="1" firstDataCol="1"/>
  <pivotFields count="9">
    <pivotField axis="axisRow" showAll="0">
      <items count="4">
        <item x="0"/>
        <item x="1"/>
        <item x="2"/>
        <item t="default"/>
      </items>
    </pivotField>
    <pivotField numFmtId="14" showAll="0"/>
    <pivotField dataField="1"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Weekly_Sales" fld="2"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87D7AD-D563-403C-9F20-499776990791}" name="PivotTable4_FuelPriceto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Fuel_Price ($)">
  <location ref="B26:C33" firstHeaderRow="1" firstDataRow="1" firstDataCol="1"/>
  <pivotFields count="11">
    <pivotField showAll="0">
      <items count="4">
        <item x="0"/>
        <item x="1"/>
        <item x="2"/>
        <item t="default"/>
      </items>
    </pivotField>
    <pivotField numFmtId="14" showAll="0">
      <items count="144">
        <item x="131"/>
        <item x="8"/>
        <item x="21"/>
        <item x="2"/>
        <item x="3"/>
        <item x="129"/>
        <item x="34"/>
        <item x="6"/>
        <item x="7"/>
        <item x="17"/>
        <item x="10"/>
        <item x="11"/>
        <item x="12"/>
        <item x="0"/>
        <item x="4"/>
        <item x="142"/>
        <item x="14"/>
        <item x="15"/>
        <item x="16"/>
        <item x="23"/>
        <item x="19"/>
        <item x="20"/>
        <item x="13"/>
        <item x="140"/>
        <item x="22"/>
        <item x="128"/>
        <item x="28"/>
        <item x="24"/>
        <item x="25"/>
        <item x="26"/>
        <item x="9"/>
        <item x="127"/>
        <item x="130"/>
        <item x="27"/>
        <item x="141"/>
        <item x="35"/>
        <item x="29"/>
        <item x="30"/>
        <item x="132"/>
        <item x="18"/>
        <item x="32"/>
        <item x="33"/>
        <item x="1"/>
        <item x="5"/>
        <item x="31"/>
        <item x="36"/>
        <item x="37"/>
        <item x="38"/>
        <item x="136"/>
        <item x="60"/>
        <item x="133"/>
        <item x="40"/>
        <item x="41"/>
        <item x="69"/>
        <item x="80"/>
        <item x="43"/>
        <item x="44"/>
        <item x="56"/>
        <item x="46"/>
        <item x="47"/>
        <item x="134"/>
        <item x="45"/>
        <item x="77"/>
        <item x="49"/>
        <item x="50"/>
        <item x="51"/>
        <item x="65"/>
        <item x="53"/>
        <item x="54"/>
        <item x="55"/>
        <item x="52"/>
        <item x="58"/>
        <item x="59"/>
        <item x="39"/>
        <item x="74"/>
        <item x="62"/>
        <item x="63"/>
        <item x="64"/>
        <item x="48"/>
        <item x="61"/>
        <item x="67"/>
        <item x="68"/>
        <item x="70"/>
        <item x="81"/>
        <item x="71"/>
        <item x="72"/>
        <item x="73"/>
        <item x="57"/>
        <item x="75"/>
        <item x="76"/>
        <item x="137"/>
        <item x="42"/>
        <item x="135"/>
        <item x="78"/>
        <item x="138"/>
        <item x="79"/>
        <item x="66"/>
        <item x="82"/>
        <item x="83"/>
        <item x="84"/>
        <item x="105"/>
        <item x="86"/>
        <item x="87"/>
        <item x="88"/>
        <item x="93"/>
        <item x="91"/>
        <item x="92"/>
        <item x="89"/>
        <item x="114"/>
        <item x="95"/>
        <item x="96"/>
        <item x="97"/>
        <item x="102"/>
        <item x="99"/>
        <item x="100"/>
        <item x="101"/>
        <item x="123"/>
        <item x="139"/>
        <item x="104"/>
        <item x="85"/>
        <item x="98"/>
        <item x="110"/>
        <item x="107"/>
        <item x="108"/>
        <item x="109"/>
        <item x="119"/>
        <item x="111"/>
        <item x="112"/>
        <item x="113"/>
        <item x="106"/>
        <item x="116"/>
        <item x="117"/>
        <item x="118"/>
        <item x="94"/>
        <item x="120"/>
        <item x="121"/>
        <item x="122"/>
        <item x="90"/>
        <item x="115"/>
        <item x="125"/>
        <item x="126"/>
        <item x="103"/>
        <item x="124"/>
        <item t="default"/>
      </items>
    </pivotField>
    <pivotField dataField="1" showAll="0"/>
    <pivotField showAll="0"/>
    <pivotField showAll="0"/>
    <pivotField axis="axisRow" showAll="0">
      <items count="9">
        <item x="0"/>
        <item x="1"/>
        <item x="2"/>
        <item x="3"/>
        <item x="4"/>
        <item x="5"/>
        <item x="6"/>
        <item x="7"/>
        <item t="default"/>
      </items>
    </pivotField>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7">
    <i>
      <x v="1"/>
    </i>
    <i>
      <x v="2"/>
    </i>
    <i>
      <x v="3"/>
    </i>
    <i>
      <x v="4"/>
    </i>
    <i>
      <x v="5"/>
    </i>
    <i>
      <x v="6"/>
    </i>
    <i t="grand">
      <x/>
    </i>
  </rowItems>
  <colItems count="1">
    <i/>
  </colItems>
  <dataFields count="1">
    <dataField name="Sum of Weekly_Sales" fld="2" baseField="0" baseItem="0" numFmtId="164"/>
  </dataFields>
  <formats count="2">
    <format dxfId="8">
      <pivotArea outline="0" collapsedLevelsAreSubtotals="1" fieldPosition="0"/>
    </format>
    <format dxfId="7">
      <pivotArea field="5" type="button" dataOnly="0" labelOnly="1" outline="0" axis="axisRow" fieldPosition="0"/>
    </format>
  </formats>
  <chartFormats count="11">
    <chartFormat chart="1"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9A1B13-7456-4261-BF10-FBF898FDDCA5}" name="PivotTable6_YearMonth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7:C50" firstHeaderRow="1" firstDataRow="1" firstDataCol="1" rowPageCount="1" colPageCount="1"/>
  <pivotFields count="11">
    <pivotField showAll="0"/>
    <pivotField numFmtId="14" showAll="0">
      <items count="144">
        <item x="131"/>
        <item x="8"/>
        <item x="21"/>
        <item x="2"/>
        <item x="3"/>
        <item x="129"/>
        <item x="34"/>
        <item x="6"/>
        <item x="7"/>
        <item x="17"/>
        <item x="10"/>
        <item x="11"/>
        <item x="12"/>
        <item x="0"/>
        <item x="4"/>
        <item x="142"/>
        <item x="14"/>
        <item x="15"/>
        <item x="16"/>
        <item x="23"/>
        <item x="19"/>
        <item x="20"/>
        <item x="13"/>
        <item x="140"/>
        <item x="22"/>
        <item x="128"/>
        <item x="28"/>
        <item x="24"/>
        <item x="25"/>
        <item x="26"/>
        <item x="9"/>
        <item x="127"/>
        <item x="130"/>
        <item x="27"/>
        <item x="141"/>
        <item x="35"/>
        <item x="29"/>
        <item x="30"/>
        <item x="132"/>
        <item x="18"/>
        <item x="32"/>
        <item x="33"/>
        <item x="1"/>
        <item x="5"/>
        <item x="31"/>
        <item x="36"/>
        <item x="37"/>
        <item x="38"/>
        <item x="136"/>
        <item x="60"/>
        <item x="133"/>
        <item x="40"/>
        <item x="41"/>
        <item x="69"/>
        <item x="80"/>
        <item x="43"/>
        <item x="44"/>
        <item x="56"/>
        <item x="46"/>
        <item x="47"/>
        <item x="134"/>
        <item x="45"/>
        <item x="77"/>
        <item x="49"/>
        <item x="50"/>
        <item x="51"/>
        <item x="65"/>
        <item x="53"/>
        <item x="54"/>
        <item x="55"/>
        <item x="52"/>
        <item x="58"/>
        <item x="59"/>
        <item x="39"/>
        <item x="74"/>
        <item x="62"/>
        <item x="63"/>
        <item x="64"/>
        <item x="48"/>
        <item x="61"/>
        <item x="67"/>
        <item x="68"/>
        <item x="70"/>
        <item x="81"/>
        <item x="71"/>
        <item x="72"/>
        <item x="73"/>
        <item x="57"/>
        <item x="75"/>
        <item x="76"/>
        <item x="137"/>
        <item x="42"/>
        <item x="135"/>
        <item x="78"/>
        <item x="138"/>
        <item x="79"/>
        <item x="66"/>
        <item x="82"/>
        <item x="83"/>
        <item x="84"/>
        <item x="105"/>
        <item x="86"/>
        <item x="87"/>
        <item x="88"/>
        <item x="93"/>
        <item x="91"/>
        <item x="92"/>
        <item x="89"/>
        <item x="114"/>
        <item x="95"/>
        <item x="96"/>
        <item x="97"/>
        <item x="102"/>
        <item x="99"/>
        <item x="100"/>
        <item x="101"/>
        <item x="123"/>
        <item x="139"/>
        <item x="104"/>
        <item x="85"/>
        <item x="98"/>
        <item x="110"/>
        <item x="107"/>
        <item x="108"/>
        <item x="109"/>
        <item x="119"/>
        <item x="111"/>
        <item x="112"/>
        <item x="113"/>
        <item x="106"/>
        <item x="116"/>
        <item x="117"/>
        <item x="118"/>
        <item x="94"/>
        <item x="120"/>
        <item x="121"/>
        <item x="122"/>
        <item x="90"/>
        <item x="115"/>
        <item x="125"/>
        <item x="126"/>
        <item x="103"/>
        <item x="124"/>
        <item t="default"/>
      </items>
    </pivotField>
    <pivotField dataField="1"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Page" showAll="0">
      <items count="6">
        <item x="0"/>
        <item x="1"/>
        <item x="2"/>
        <item x="3"/>
        <item x="4"/>
        <item t="default"/>
      </items>
    </pivotField>
  </pivotFields>
  <rowFields count="1">
    <field x="9"/>
  </rowFields>
  <rowItems count="13">
    <i>
      <x v="1"/>
    </i>
    <i>
      <x v="2"/>
    </i>
    <i>
      <x v="3"/>
    </i>
    <i>
      <x v="4"/>
    </i>
    <i>
      <x v="5"/>
    </i>
    <i>
      <x v="6"/>
    </i>
    <i>
      <x v="7"/>
    </i>
    <i>
      <x v="8"/>
    </i>
    <i>
      <x v="9"/>
    </i>
    <i>
      <x v="10"/>
    </i>
    <i>
      <x v="11"/>
    </i>
    <i>
      <x v="12"/>
    </i>
    <i t="grand">
      <x/>
    </i>
  </rowItems>
  <colItems count="1">
    <i/>
  </colItems>
  <pageFields count="1">
    <pageField fld="10" item="1" hier="-1"/>
  </pageFields>
  <dataFields count="1">
    <dataField name="Sum of Weekly_Sales" fld="2" baseField="0" baseItem="0" numFmtId="164"/>
  </dataFields>
  <formats count="1">
    <format dxfId="9">
      <pivotArea outline="0" collapsedLevelsAreSubtotals="1" fieldPosition="0"/>
    </format>
  </format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18A227-587F-4D80-AC2E-A31CB54F5C81}" autoFormatId="16" applyNumberFormats="0" applyBorderFormats="0" applyFontFormats="0" applyPatternFormats="0" applyAlignmentFormats="0" applyWidthHeightFormats="0">
  <queryTableRefresh nextId="10" unboundColumnsRight="1">
    <queryTableFields count="9">
      <queryTableField id="1" name="Store" tableColumnId="1"/>
      <queryTableField id="2" name="Date" tableColumnId="2"/>
      <queryTableField id="3" name="Weekly_Sales" tableColumnId="3"/>
      <queryTableField id="4" name="Holiday_Flag" tableColumnId="4"/>
      <queryTableField id="5" name="Temperature" tableColumnId="5"/>
      <queryTableField id="6" name="Fuel_Price" tableColumnId="6"/>
      <queryTableField id="7" name="CPI" tableColumnId="7"/>
      <queryTableField id="8" name="Unemployment"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04B00CD0-37CB-4282-867A-2A1EA304EB45}" sourceName="Years (Date)">
  <pivotTables>
    <pivotTable tabId="5" name="PivotTable6_YearMonthSales"/>
  </pivotTables>
  <data>
    <tabular pivotCacheId="753001526">
      <items count="5">
        <i x="1" s="1"/>
        <i x="2"/>
        <i x="3"/>
        <i x="0"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2" xr10:uid="{87AFDE7A-E135-45D1-BBCE-2FA048E3A27E}" cache="Slicer_Years__Date1" caption="Years (Date)" columnCount="3" showCaption="0" style="Slicer Style 2"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7E2E08-0A94-4F9B-97C8-24EA64E1FA8A}" name="Cleaned_Data" displayName="Cleaned_Data" ref="A1:I384" tableType="queryTable" totalsRowShown="0">
  <autoFilter ref="A1:I384" xr:uid="{E57E2E08-0A94-4F9B-97C8-24EA64E1FA8A}"/>
  <tableColumns count="9">
    <tableColumn id="1" xr3:uid="{3C3E39D3-0E1A-4520-8521-6A47FA59D2DA}" uniqueName="1" name="Store" queryTableFieldId="1"/>
    <tableColumn id="2" xr3:uid="{B5664508-A404-4292-8A8F-1D300F41E07A}" uniqueName="2" name="Date" queryTableFieldId="2" dataDxfId="3"/>
    <tableColumn id="3" xr3:uid="{56809A89-B60C-4A59-9AFF-886EF9F2013A}" uniqueName="3" name="Weekly_Sales" queryTableFieldId="3"/>
    <tableColumn id="4" xr3:uid="{2C1F337C-2462-450A-9157-AAC9A515D401}" uniqueName="4" name="Holiday_Flag" queryTableFieldId="4"/>
    <tableColumn id="5" xr3:uid="{0D5B0300-DBE8-471D-B223-C55EBCF88734}" uniqueName="5" name="Temperature" queryTableFieldId="5"/>
    <tableColumn id="6" xr3:uid="{C48212BC-FBCF-4CC4-A26E-2DB7FAACDC1E}" uniqueName="6" name="Fuel_Price" queryTableFieldId="6"/>
    <tableColumn id="7" xr3:uid="{331932B7-B381-417A-AEA4-ECCEC314D0BC}" uniqueName="7" name="CPI" queryTableFieldId="7"/>
    <tableColumn id="8" xr3:uid="{F16E2816-E889-48EC-8490-ED9262F90761}" uniqueName="8" name="Unemployment" queryTableFieldId="8"/>
    <tableColumn id="9" xr3:uid="{74F57087-05FC-47D5-8F87-4762E7F0F095}" uniqueName="9" name="Holiday_Type" queryTableFieldId="9" dataDxfId="2">
      <calculatedColumnFormula>IF(Cleaned_Data[[#This Row],[Holiday_Flag]]=1,"Holiday","Non-Holiday")</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289EA2-1971-44F9-8DCF-8D1608B47799}" name="Table3" displayName="Table3" ref="A1:H434" totalsRowShown="0">
  <tableColumns count="8">
    <tableColumn id="1" xr3:uid="{86201922-F08E-478E-B29A-FCCD0F92130A}" name="Store"/>
    <tableColumn id="2" xr3:uid="{D9720F66-083B-482F-9FA9-CAC4E26B7E18}" name="Date"/>
    <tableColumn id="3" xr3:uid="{B8142468-B910-4F90-88CE-AF6AF10F3708}" name="Weekly_Sales"/>
    <tableColumn id="4" xr3:uid="{77006EB6-D54E-4B2F-A77A-22F7052361FC}" name="Holiday_Flag"/>
    <tableColumn id="5" xr3:uid="{5373462F-604A-4D53-9EAF-1DE7856F5FAA}" name="Temperature"/>
    <tableColumn id="6" xr3:uid="{2359A428-E210-4708-B49D-6CE27DA68643}" name="Fuel_Price"/>
    <tableColumn id="7" xr3:uid="{807D6820-5515-405E-B153-6786ABE2F35C}" name="CPI"/>
    <tableColumn id="8" xr3:uid="{CCB4A7AD-DF97-44C6-AE25-D52C0C97C923}" name="Unemploy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81758-C28A-42E6-8EB3-18FC362466ED}">
  <sheetPr>
    <pageSetUpPr fitToPage="1"/>
  </sheetPr>
  <dimension ref="B2:R19"/>
  <sheetViews>
    <sheetView showGridLines="0" showRowColHeaders="0" zoomScale="60" zoomScaleNormal="60" workbookViewId="0">
      <selection activeCell="AC39" sqref="AC39"/>
    </sheetView>
  </sheetViews>
  <sheetFormatPr defaultRowHeight="14.5" x14ac:dyDescent="0.35"/>
  <cols>
    <col min="1" max="16384" width="8.7265625" style="19"/>
  </cols>
  <sheetData>
    <row r="2" spans="2:18" ht="14.5" customHeight="1" x14ac:dyDescent="0.35">
      <c r="B2" s="18"/>
      <c r="C2" s="18"/>
      <c r="D2" s="18"/>
      <c r="E2" s="18"/>
      <c r="F2" s="18"/>
      <c r="G2" s="18"/>
      <c r="H2" s="18"/>
      <c r="I2" s="18"/>
      <c r="J2" s="18"/>
      <c r="K2" s="18"/>
      <c r="L2" s="18"/>
      <c r="M2" s="18"/>
      <c r="N2" s="18"/>
    </row>
    <row r="3" spans="2:18" ht="14.5" customHeight="1" x14ac:dyDescent="0.35">
      <c r="B3" s="18"/>
      <c r="C3" s="18"/>
      <c r="D3" s="18"/>
      <c r="E3" s="18"/>
      <c r="F3" s="18"/>
      <c r="G3" s="18"/>
      <c r="H3" s="18"/>
      <c r="I3" s="18"/>
      <c r="J3" s="18"/>
      <c r="K3" s="18"/>
      <c r="L3" s="18"/>
      <c r="M3" s="18"/>
      <c r="N3" s="18"/>
    </row>
    <row r="4" spans="2:18" ht="14.5" customHeight="1" x14ac:dyDescent="0.35">
      <c r="B4" s="18"/>
      <c r="C4" s="18"/>
      <c r="D4" s="18"/>
      <c r="E4" s="18"/>
      <c r="F4" s="18"/>
      <c r="G4" s="18"/>
      <c r="H4" s="18"/>
      <c r="I4" s="18"/>
      <c r="J4" s="18"/>
      <c r="K4" s="18"/>
      <c r="L4" s="18"/>
      <c r="M4" s="18"/>
      <c r="N4" s="18"/>
    </row>
    <row r="6" spans="2:18" ht="17.5" x14ac:dyDescent="0.35">
      <c r="H6" s="20"/>
    </row>
    <row r="7" spans="2:18" x14ac:dyDescent="0.35">
      <c r="H7" s="21"/>
    </row>
    <row r="8" spans="2:18" x14ac:dyDescent="0.35">
      <c r="H8" s="21"/>
    </row>
    <row r="9" spans="2:18" x14ac:dyDescent="0.35">
      <c r="H9" s="21"/>
    </row>
    <row r="10" spans="2:18" x14ac:dyDescent="0.35">
      <c r="H10" s="21"/>
      <c r="M10" s="22"/>
    </row>
    <row r="11" spans="2:18" x14ac:dyDescent="0.35">
      <c r="H11" s="21"/>
    </row>
    <row r="13" spans="2:18" ht="17.5" x14ac:dyDescent="0.35">
      <c r="H13" s="20"/>
    </row>
    <row r="14" spans="2:18" x14ac:dyDescent="0.35">
      <c r="H14" s="21"/>
    </row>
    <row r="15" spans="2:18" x14ac:dyDescent="0.35">
      <c r="H15" s="21"/>
      <c r="R15" s="23"/>
    </row>
    <row r="16" spans="2:18" x14ac:dyDescent="0.35">
      <c r="H16" s="21"/>
    </row>
    <row r="17" spans="8:17" x14ac:dyDescent="0.35">
      <c r="H17" s="21"/>
    </row>
    <row r="18" spans="8:17" x14ac:dyDescent="0.35">
      <c r="H18" s="21"/>
    </row>
    <row r="19" spans="8:17" x14ac:dyDescent="0.35">
      <c r="H19" s="21"/>
      <c r="Q19" s="24"/>
    </row>
  </sheetData>
  <pageMargins left="0.7" right="0.7" top="0.75" bottom="0.75" header="0.3" footer="0.3"/>
  <pageSetup paperSize="5" scale="65" fitToWidth="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6770C-E822-4F6B-943D-E64BF5FE3D61}">
  <sheetPr codeName="Sheet4"/>
  <dimension ref="A1:Z59"/>
  <sheetViews>
    <sheetView showGridLines="0" showRowColHeaders="0" topLeftCell="A10" zoomScaleNormal="100" zoomScaleSheetLayoutView="50" workbookViewId="0"/>
  </sheetViews>
  <sheetFormatPr defaultColWidth="0" defaultRowHeight="14.5" zeroHeight="1" x14ac:dyDescent="0.35"/>
  <cols>
    <col min="1" max="26" width="8.7265625" style="12" customWidth="1"/>
    <col min="27" max="16384" width="8.7265625" style="12" hidden="1"/>
  </cols>
  <sheetData>
    <row r="1" spans="9:10" x14ac:dyDescent="0.35">
      <c r="I1" s="12">
        <f>MAX(Pivot_Analysis!B9:B11)</f>
        <v>3</v>
      </c>
    </row>
    <row r="2" spans="9:10" x14ac:dyDescent="0.35"/>
    <row r="3" spans="9:10" x14ac:dyDescent="0.35"/>
    <row r="4" spans="9:10" x14ac:dyDescent="0.35"/>
    <row r="5" spans="9:10" x14ac:dyDescent="0.35"/>
    <row r="6" spans="9:10" x14ac:dyDescent="0.35"/>
    <row r="7" spans="9:10" x14ac:dyDescent="0.35"/>
    <row r="8" spans="9:10" x14ac:dyDescent="0.35"/>
    <row r="9" spans="9:10" x14ac:dyDescent="0.35">
      <c r="J9" s="12" t="e" cm="1">
        <f t="array" ref="J9">INDEX</f>
        <v>#NAME?</v>
      </c>
    </row>
    <row r="10" spans="9:10" x14ac:dyDescent="0.35"/>
    <row r="11" spans="9:10" x14ac:dyDescent="0.35"/>
    <row r="12" spans="9:10" x14ac:dyDescent="0.35"/>
    <row r="13" spans="9:10" x14ac:dyDescent="0.35"/>
    <row r="14" spans="9:10" x14ac:dyDescent="0.35"/>
    <row r="15" spans="9:10" x14ac:dyDescent="0.35"/>
    <row r="16" spans="9:10" x14ac:dyDescent="0.35"/>
    <row r="17" spans="7:7" x14ac:dyDescent="0.35"/>
    <row r="18" spans="7:7" x14ac:dyDescent="0.35">
      <c r="G18" s="12" t="e">
        <f>INDEX(Pivot_Analysis!B9:B11,MATCH(MAX(Pivot_Analysis!C9:C11,Pivot_Analysis!C9:C11),0))</f>
        <v>#N/A</v>
      </c>
    </row>
    <row r="19" spans="7:7" x14ac:dyDescent="0.35"/>
    <row r="20" spans="7:7" x14ac:dyDescent="0.35"/>
    <row r="21" spans="7:7" x14ac:dyDescent="0.35"/>
    <row r="22" spans="7:7" x14ac:dyDescent="0.35"/>
    <row r="23" spans="7:7" x14ac:dyDescent="0.35"/>
    <row r="24" spans="7:7" x14ac:dyDescent="0.35"/>
    <row r="25" spans="7:7" x14ac:dyDescent="0.35"/>
    <row r="26" spans="7:7" x14ac:dyDescent="0.35"/>
    <row r="27" spans="7:7" x14ac:dyDescent="0.35"/>
    <row r="28" spans="7:7" x14ac:dyDescent="0.35"/>
    <row r="29" spans="7:7" x14ac:dyDescent="0.35"/>
    <row r="30" spans="7:7" x14ac:dyDescent="0.35"/>
    <row r="31" spans="7:7" x14ac:dyDescent="0.35"/>
    <row r="32" spans="7:7"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DB889-90D0-4DF0-B57F-461499505D4D}">
  <sheetPr codeName="Sheet5"/>
  <dimension ref="A1:I384"/>
  <sheetViews>
    <sheetView workbookViewId="0"/>
  </sheetViews>
  <sheetFormatPr defaultRowHeight="14.5" x14ac:dyDescent="0.35"/>
  <cols>
    <col min="1" max="1" width="7.54296875" bestFit="1" customWidth="1"/>
    <col min="2" max="2" width="10.453125" bestFit="1" customWidth="1"/>
    <col min="3" max="3" width="14.453125" bestFit="1" customWidth="1"/>
    <col min="4" max="4" width="13.6328125" bestFit="1" customWidth="1"/>
    <col min="5" max="5" width="14.08984375" bestFit="1" customWidth="1"/>
    <col min="6" max="6" width="11.6328125" bestFit="1" customWidth="1"/>
    <col min="7" max="7" width="11.81640625" bestFit="1" customWidth="1"/>
    <col min="8" max="8" width="16.1796875" bestFit="1" customWidth="1"/>
    <col min="9" max="9" width="14.36328125" bestFit="1" customWidth="1"/>
  </cols>
  <sheetData>
    <row r="1" spans="1:9" x14ac:dyDescent="0.35">
      <c r="A1" t="s">
        <v>0</v>
      </c>
      <c r="B1" t="s">
        <v>1</v>
      </c>
      <c r="C1" t="s">
        <v>2</v>
      </c>
      <c r="D1" t="s">
        <v>3</v>
      </c>
      <c r="E1" t="s">
        <v>4</v>
      </c>
      <c r="F1" t="s">
        <v>5</v>
      </c>
      <c r="G1" t="s">
        <v>6</v>
      </c>
      <c r="H1" t="s">
        <v>7</v>
      </c>
      <c r="I1" t="s">
        <v>121</v>
      </c>
    </row>
    <row r="2" spans="1:9" x14ac:dyDescent="0.35">
      <c r="A2">
        <v>1</v>
      </c>
      <c r="B2" s="1">
        <v>40300</v>
      </c>
      <c r="C2">
        <v>1643690.9</v>
      </c>
      <c r="D2">
        <v>0</v>
      </c>
      <c r="E2">
        <v>42.31</v>
      </c>
      <c r="F2">
        <v>2.5720000000000001</v>
      </c>
      <c r="G2">
        <v>211.0963582</v>
      </c>
      <c r="H2">
        <v>8.1059999999999999</v>
      </c>
      <c r="I2" t="str">
        <f>IF(Cleaned_Data[[#This Row],[Holiday_Flag]]=1,"Holiday","Non-Holiday")</f>
        <v>Non-Holiday</v>
      </c>
    </row>
    <row r="3" spans="1:9" x14ac:dyDescent="0.35">
      <c r="A3">
        <v>1</v>
      </c>
      <c r="B3" s="1">
        <v>40514</v>
      </c>
      <c r="C3">
        <v>1641957.44</v>
      </c>
      <c r="D3">
        <v>1</v>
      </c>
      <c r="E3">
        <v>38.51</v>
      </c>
      <c r="F3">
        <v>2.548</v>
      </c>
      <c r="G3">
        <v>211.2421698</v>
      </c>
      <c r="H3">
        <v>8.1059999999999999</v>
      </c>
      <c r="I3" t="str">
        <f>IF(Cleaned_Data[[#This Row],[Holiday_Flag]]=1,"Holiday","Non-Holiday")</f>
        <v>Holiday</v>
      </c>
    </row>
    <row r="4" spans="1:9" x14ac:dyDescent="0.35">
      <c r="A4">
        <v>1</v>
      </c>
      <c r="B4" s="1">
        <v>40228</v>
      </c>
      <c r="C4">
        <v>1611968.17</v>
      </c>
      <c r="D4">
        <v>0</v>
      </c>
      <c r="E4">
        <v>39.93</v>
      </c>
      <c r="F4">
        <v>2.5139999999999998</v>
      </c>
      <c r="G4">
        <v>211.2891429</v>
      </c>
      <c r="H4">
        <v>8.1059999999999999</v>
      </c>
      <c r="I4" t="str">
        <f>IF(Cleaned_Data[[#This Row],[Holiday_Flag]]=1,"Holiday","Non-Holiday")</f>
        <v>Non-Holiday</v>
      </c>
    </row>
    <row r="5" spans="1:9" x14ac:dyDescent="0.35">
      <c r="A5">
        <v>1</v>
      </c>
      <c r="B5" s="1">
        <v>40235</v>
      </c>
      <c r="C5">
        <v>1409727.59</v>
      </c>
      <c r="D5">
        <v>0</v>
      </c>
      <c r="E5">
        <v>46.63</v>
      </c>
      <c r="F5">
        <v>2.5609999999999999</v>
      </c>
      <c r="G5">
        <v>211.31964289999999</v>
      </c>
      <c r="H5">
        <v>8.1059999999999999</v>
      </c>
      <c r="I5" t="str">
        <f>IF(Cleaned_Data[[#This Row],[Holiday_Flag]]=1,"Holiday","Non-Holiday")</f>
        <v>Non-Holiday</v>
      </c>
    </row>
    <row r="6" spans="1:9" x14ac:dyDescent="0.35">
      <c r="A6">
        <v>1</v>
      </c>
      <c r="B6" s="1">
        <v>40301</v>
      </c>
      <c r="C6">
        <v>1554806.68</v>
      </c>
      <c r="D6">
        <v>0</v>
      </c>
      <c r="E6">
        <v>46.5</v>
      </c>
      <c r="F6">
        <v>2.625</v>
      </c>
      <c r="G6">
        <v>211.35014290000001</v>
      </c>
      <c r="H6">
        <v>8.1059999999999999</v>
      </c>
      <c r="I6" t="str">
        <f>IF(Cleaned_Data[[#This Row],[Holiday_Flag]]=1,"Holiday","Non-Holiday")</f>
        <v>Non-Holiday</v>
      </c>
    </row>
    <row r="7" spans="1:9" x14ac:dyDescent="0.35">
      <c r="A7">
        <v>1</v>
      </c>
      <c r="B7" s="1">
        <v>40515</v>
      </c>
      <c r="C7">
        <v>1439541.59</v>
      </c>
      <c r="D7">
        <v>0</v>
      </c>
      <c r="E7">
        <v>57.79</v>
      </c>
      <c r="F7">
        <v>2.6669999999999998</v>
      </c>
      <c r="G7">
        <v>211.3806429</v>
      </c>
      <c r="H7">
        <v>8.1059999999999999</v>
      </c>
      <c r="I7" t="str">
        <f>IF(Cleaned_Data[[#This Row],[Holiday_Flag]]=1,"Holiday","Non-Holiday")</f>
        <v>Non-Holiday</v>
      </c>
    </row>
    <row r="8" spans="1:9" x14ac:dyDescent="0.35">
      <c r="A8">
        <v>1</v>
      </c>
      <c r="B8" s="1">
        <v>40256</v>
      </c>
      <c r="C8">
        <v>1472515.79</v>
      </c>
      <c r="D8">
        <v>0</v>
      </c>
      <c r="E8">
        <v>54.58</v>
      </c>
      <c r="F8">
        <v>2.72</v>
      </c>
      <c r="G8">
        <v>211.21563499999999</v>
      </c>
      <c r="H8">
        <v>8.1059999999999999</v>
      </c>
      <c r="I8" t="str">
        <f>IF(Cleaned_Data[[#This Row],[Holiday_Flag]]=1,"Holiday","Non-Holiday")</f>
        <v>Non-Holiday</v>
      </c>
    </row>
    <row r="9" spans="1:9" x14ac:dyDescent="0.35">
      <c r="A9">
        <v>1</v>
      </c>
      <c r="B9" s="1">
        <v>40263</v>
      </c>
      <c r="C9">
        <v>1404429.92</v>
      </c>
      <c r="D9">
        <v>0</v>
      </c>
      <c r="E9">
        <v>51.45</v>
      </c>
      <c r="F9">
        <v>2.7320000000000002</v>
      </c>
      <c r="G9">
        <v>211.01804240000001</v>
      </c>
      <c r="H9">
        <v>8.1059999999999999</v>
      </c>
      <c r="I9" t="str">
        <f>IF(Cleaned_Data[[#This Row],[Holiday_Flag]]=1,"Holiday","Non-Holiday")</f>
        <v>Non-Holiday</v>
      </c>
    </row>
    <row r="10" spans="1:9" x14ac:dyDescent="0.35">
      <c r="A10">
        <v>1</v>
      </c>
      <c r="B10" s="1">
        <v>40213</v>
      </c>
      <c r="C10">
        <v>1594968.28</v>
      </c>
      <c r="D10">
        <v>0</v>
      </c>
      <c r="E10">
        <v>62.27</v>
      </c>
      <c r="F10">
        <v>2.7189999999999999</v>
      </c>
      <c r="G10">
        <v>210.8204499</v>
      </c>
      <c r="H10">
        <v>7.8079999999999998</v>
      </c>
      <c r="I10" t="str">
        <f>IF(Cleaned_Data[[#This Row],[Holiday_Flag]]=1,"Holiday","Non-Holiday")</f>
        <v>Non-Holiday</v>
      </c>
    </row>
    <row r="11" spans="1:9" x14ac:dyDescent="0.35">
      <c r="A11">
        <v>1</v>
      </c>
      <c r="B11" s="1">
        <v>40425</v>
      </c>
      <c r="C11">
        <v>1545418.53</v>
      </c>
      <c r="D11">
        <v>0</v>
      </c>
      <c r="E11">
        <v>65.86</v>
      </c>
      <c r="F11">
        <v>2.77</v>
      </c>
      <c r="G11">
        <v>210.62285739999999</v>
      </c>
      <c r="H11">
        <v>7.8079999999999998</v>
      </c>
      <c r="I11" t="str">
        <f>IF(Cleaned_Data[[#This Row],[Holiday_Flag]]=1,"Holiday","Non-Holiday")</f>
        <v>Non-Holiday</v>
      </c>
    </row>
    <row r="12" spans="1:9" x14ac:dyDescent="0.35">
      <c r="A12">
        <v>1</v>
      </c>
      <c r="B12" s="1">
        <v>40284</v>
      </c>
      <c r="C12">
        <v>1466058.28</v>
      </c>
      <c r="D12">
        <v>0</v>
      </c>
      <c r="E12">
        <v>66.319999999999993</v>
      </c>
      <c r="F12">
        <v>2.8079999999999998</v>
      </c>
      <c r="G12">
        <v>210.48869999999999</v>
      </c>
      <c r="H12">
        <v>7.8079999999999998</v>
      </c>
      <c r="I12" t="str">
        <f>IF(Cleaned_Data[[#This Row],[Holiday_Flag]]=1,"Holiday","Non-Holiday")</f>
        <v>Non-Holiday</v>
      </c>
    </row>
    <row r="13" spans="1:9" x14ac:dyDescent="0.35">
      <c r="A13">
        <v>1</v>
      </c>
      <c r="B13" s="1">
        <v>40291</v>
      </c>
      <c r="C13">
        <v>1391256.12</v>
      </c>
      <c r="D13">
        <v>0</v>
      </c>
      <c r="E13">
        <v>64.84</v>
      </c>
      <c r="F13">
        <v>2.7949999999999999</v>
      </c>
      <c r="G13">
        <v>210.43912280000001</v>
      </c>
      <c r="H13">
        <v>7.8079999999999998</v>
      </c>
      <c r="I13" t="str">
        <f>IF(Cleaned_Data[[#This Row],[Holiday_Flag]]=1,"Holiday","Non-Holiday")</f>
        <v>Non-Holiday</v>
      </c>
    </row>
    <row r="14" spans="1:9" x14ac:dyDescent="0.35">
      <c r="A14">
        <v>1</v>
      </c>
      <c r="B14" s="1">
        <v>40298</v>
      </c>
      <c r="C14">
        <v>1425100.71</v>
      </c>
      <c r="D14">
        <v>0</v>
      </c>
      <c r="E14">
        <v>67.41</v>
      </c>
      <c r="F14">
        <v>2.78</v>
      </c>
      <c r="G14">
        <v>210.38954559999999</v>
      </c>
      <c r="H14">
        <v>7.8079999999999998</v>
      </c>
      <c r="I14" t="str">
        <f>IF(Cleaned_Data[[#This Row],[Holiday_Flag]]=1,"Holiday","Non-Holiday")</f>
        <v>Non-Holiday</v>
      </c>
    </row>
    <row r="15" spans="1:9" x14ac:dyDescent="0.35">
      <c r="A15">
        <v>1</v>
      </c>
      <c r="B15" s="1">
        <v>40364</v>
      </c>
      <c r="C15">
        <v>1603955.12</v>
      </c>
      <c r="D15">
        <v>0</v>
      </c>
      <c r="E15">
        <v>72.55</v>
      </c>
      <c r="F15">
        <v>2.835</v>
      </c>
      <c r="G15">
        <v>210.3399684</v>
      </c>
      <c r="H15">
        <v>7.8079999999999998</v>
      </c>
      <c r="I15" t="str">
        <f>IF(Cleaned_Data[[#This Row],[Holiday_Flag]]=1,"Holiday","Non-Holiday")</f>
        <v>Non-Holiday</v>
      </c>
    </row>
    <row r="16" spans="1:9" x14ac:dyDescent="0.35">
      <c r="A16">
        <v>1</v>
      </c>
      <c r="B16" s="1">
        <v>40312</v>
      </c>
      <c r="C16">
        <v>1494251.5</v>
      </c>
      <c r="D16">
        <v>0</v>
      </c>
      <c r="E16">
        <v>74.78</v>
      </c>
      <c r="F16">
        <v>2.8540000000000001</v>
      </c>
      <c r="G16">
        <v>210.33742609999999</v>
      </c>
      <c r="H16">
        <v>7.8079999999999998</v>
      </c>
      <c r="I16" t="str">
        <f>IF(Cleaned_Data[[#This Row],[Holiday_Flag]]=1,"Holiday","Non-Holiday")</f>
        <v>Non-Holiday</v>
      </c>
    </row>
    <row r="17" spans="1:9" x14ac:dyDescent="0.35">
      <c r="A17">
        <v>1</v>
      </c>
      <c r="B17" s="1">
        <v>40319</v>
      </c>
      <c r="C17">
        <v>1399662.07</v>
      </c>
      <c r="D17">
        <v>0</v>
      </c>
      <c r="E17">
        <v>76.44</v>
      </c>
      <c r="F17">
        <v>2.8260000000000001</v>
      </c>
      <c r="G17">
        <v>210.61709339999999</v>
      </c>
      <c r="H17">
        <v>7.8079999999999998</v>
      </c>
      <c r="I17" t="str">
        <f>IF(Cleaned_Data[[#This Row],[Holiday_Flag]]=1,"Holiday","Non-Holiday")</f>
        <v>Non-Holiday</v>
      </c>
    </row>
    <row r="18" spans="1:9" x14ac:dyDescent="0.35">
      <c r="A18">
        <v>1</v>
      </c>
      <c r="B18" s="1">
        <v>40326</v>
      </c>
      <c r="C18">
        <v>1432069.95</v>
      </c>
      <c r="D18">
        <v>0</v>
      </c>
      <c r="E18">
        <v>80.44</v>
      </c>
      <c r="F18">
        <v>2.7589999999999999</v>
      </c>
      <c r="G18">
        <v>210.89676059999999</v>
      </c>
      <c r="H18">
        <v>7.8079999999999998</v>
      </c>
      <c r="I18" t="str">
        <f>IF(Cleaned_Data[[#This Row],[Holiday_Flag]]=1,"Holiday","Non-Holiday")</f>
        <v>Non-Holiday</v>
      </c>
    </row>
    <row r="19" spans="1:9" x14ac:dyDescent="0.35">
      <c r="A19">
        <v>1</v>
      </c>
      <c r="B19" s="1">
        <v>40274</v>
      </c>
      <c r="C19">
        <v>1615524.71</v>
      </c>
      <c r="D19">
        <v>0</v>
      </c>
      <c r="E19">
        <v>80.69</v>
      </c>
      <c r="F19">
        <v>2.7050000000000001</v>
      </c>
      <c r="G19">
        <v>211.1764278</v>
      </c>
      <c r="H19">
        <v>7.8079999999999998</v>
      </c>
      <c r="I19" t="str">
        <f>IF(Cleaned_Data[[#This Row],[Holiday_Flag]]=1,"Holiday","Non-Holiday")</f>
        <v>Non-Holiday</v>
      </c>
    </row>
    <row r="20" spans="1:9" x14ac:dyDescent="0.35">
      <c r="A20">
        <v>1</v>
      </c>
      <c r="B20" s="1">
        <v>40488</v>
      </c>
      <c r="C20">
        <v>1542561.09</v>
      </c>
      <c r="D20">
        <v>0</v>
      </c>
      <c r="E20">
        <v>80.430000000000007</v>
      </c>
      <c r="F20">
        <v>2.6680000000000001</v>
      </c>
      <c r="G20">
        <v>211.4560951</v>
      </c>
      <c r="H20">
        <v>7.8079999999999998</v>
      </c>
      <c r="I20" t="str">
        <f>IF(Cleaned_Data[[#This Row],[Holiday_Flag]]=1,"Holiday","Non-Holiday")</f>
        <v>Non-Holiday</v>
      </c>
    </row>
    <row r="21" spans="1:9" x14ac:dyDescent="0.35">
      <c r="A21">
        <v>1</v>
      </c>
      <c r="B21" s="1">
        <v>40347</v>
      </c>
      <c r="C21">
        <v>1503284.06</v>
      </c>
      <c r="D21">
        <v>0</v>
      </c>
      <c r="E21">
        <v>84.11</v>
      </c>
      <c r="F21">
        <v>2.637</v>
      </c>
      <c r="G21">
        <v>211.45377189999999</v>
      </c>
      <c r="H21">
        <v>7.8079999999999998</v>
      </c>
      <c r="I21" t="str">
        <f>IF(Cleaned_Data[[#This Row],[Holiday_Flag]]=1,"Holiday","Non-Holiday")</f>
        <v>Non-Holiday</v>
      </c>
    </row>
    <row r="22" spans="1:9" x14ac:dyDescent="0.35">
      <c r="A22">
        <v>1</v>
      </c>
      <c r="B22" s="1">
        <v>40354</v>
      </c>
      <c r="C22">
        <v>1422711.6</v>
      </c>
      <c r="D22">
        <v>0</v>
      </c>
      <c r="E22">
        <v>84.34</v>
      </c>
      <c r="F22">
        <v>2.653</v>
      </c>
      <c r="G22">
        <v>211.33865259999999</v>
      </c>
      <c r="H22">
        <v>7.8079999999999998</v>
      </c>
      <c r="I22" t="str">
        <f>IF(Cleaned_Data[[#This Row],[Holiday_Flag]]=1,"Holiday","Non-Holiday")</f>
        <v>Non-Holiday</v>
      </c>
    </row>
    <row r="23" spans="1:9" x14ac:dyDescent="0.35">
      <c r="A23">
        <v>1</v>
      </c>
      <c r="B23" s="1">
        <v>40216</v>
      </c>
      <c r="C23">
        <v>1492418.14</v>
      </c>
      <c r="D23">
        <v>0</v>
      </c>
      <c r="E23">
        <v>80.91</v>
      </c>
      <c r="F23">
        <v>2.669</v>
      </c>
      <c r="G23">
        <v>211.22353330000001</v>
      </c>
      <c r="H23">
        <v>7.7869999999999999</v>
      </c>
      <c r="I23" t="str">
        <f>IF(Cleaned_Data[[#This Row],[Holiday_Flag]]=1,"Holiday","Non-Holiday")</f>
        <v>Non-Holiday</v>
      </c>
    </row>
    <row r="24" spans="1:9" x14ac:dyDescent="0.35">
      <c r="A24">
        <v>1</v>
      </c>
      <c r="B24" s="1">
        <v>40382</v>
      </c>
      <c r="C24">
        <v>1385065.2</v>
      </c>
      <c r="D24">
        <v>0</v>
      </c>
      <c r="E24">
        <v>83.36</v>
      </c>
      <c r="F24">
        <v>2.6080000000000001</v>
      </c>
      <c r="G24">
        <v>211.2351443</v>
      </c>
      <c r="H24">
        <v>7.7869999999999999</v>
      </c>
      <c r="I24" t="str">
        <f>IF(Cleaned_Data[[#This Row],[Holiday_Flag]]=1,"Holiday","Non-Holiday")</f>
        <v>Non-Holiday</v>
      </c>
    </row>
    <row r="25" spans="1:9" x14ac:dyDescent="0.35">
      <c r="A25">
        <v>1</v>
      </c>
      <c r="B25" s="1">
        <v>40337</v>
      </c>
      <c r="C25">
        <v>1605491.78</v>
      </c>
      <c r="D25">
        <v>0</v>
      </c>
      <c r="E25">
        <v>87.16</v>
      </c>
      <c r="F25">
        <v>2.6269999999999998</v>
      </c>
      <c r="G25">
        <v>211.50466209999999</v>
      </c>
      <c r="H25">
        <v>7.7869999999999999</v>
      </c>
      <c r="I25" t="str">
        <f>IF(Cleaned_Data[[#This Row],[Holiday_Flag]]=1,"Holiday","Non-Holiday")</f>
        <v>Non-Holiday</v>
      </c>
    </row>
    <row r="26" spans="1:9" x14ac:dyDescent="0.35">
      <c r="A26">
        <v>1</v>
      </c>
      <c r="B26" s="1">
        <v>40403</v>
      </c>
      <c r="C26">
        <v>1508237.76</v>
      </c>
      <c r="D26">
        <v>0</v>
      </c>
      <c r="E26">
        <v>87</v>
      </c>
      <c r="F26">
        <v>2.6920000000000002</v>
      </c>
      <c r="G26">
        <v>211.63942109999999</v>
      </c>
      <c r="H26">
        <v>7.7869999999999999</v>
      </c>
      <c r="I26" t="str">
        <f>IF(Cleaned_Data[[#This Row],[Holiday_Flag]]=1,"Holiday","Non-Holiday")</f>
        <v>Non-Holiday</v>
      </c>
    </row>
    <row r="27" spans="1:9" x14ac:dyDescent="0.35">
      <c r="A27">
        <v>1</v>
      </c>
      <c r="B27" s="1">
        <v>40410</v>
      </c>
      <c r="C27">
        <v>1513080.49</v>
      </c>
      <c r="D27">
        <v>0</v>
      </c>
      <c r="E27">
        <v>86.65</v>
      </c>
      <c r="F27">
        <v>2.6640000000000001</v>
      </c>
      <c r="G27">
        <v>211.60336330000001</v>
      </c>
      <c r="H27">
        <v>7.7869999999999999</v>
      </c>
      <c r="I27" t="str">
        <f>IF(Cleaned_Data[[#This Row],[Holiday_Flag]]=1,"Holiday","Non-Holiday")</f>
        <v>Non-Holiday</v>
      </c>
    </row>
    <row r="28" spans="1:9" x14ac:dyDescent="0.35">
      <c r="A28">
        <v>1</v>
      </c>
      <c r="B28" s="1">
        <v>40417</v>
      </c>
      <c r="C28">
        <v>1449142.92</v>
      </c>
      <c r="D28">
        <v>0</v>
      </c>
      <c r="E28">
        <v>85.22</v>
      </c>
      <c r="F28">
        <v>2.6190000000000002</v>
      </c>
      <c r="G28">
        <v>211.5673056</v>
      </c>
      <c r="H28">
        <v>7.7869999999999999</v>
      </c>
      <c r="I28" t="str">
        <f>IF(Cleaned_Data[[#This Row],[Holiday_Flag]]=1,"Holiday","Non-Holiday")</f>
        <v>Non-Holiday</v>
      </c>
    </row>
    <row r="29" spans="1:9" x14ac:dyDescent="0.35">
      <c r="A29">
        <v>1</v>
      </c>
      <c r="B29" s="1">
        <v>40445</v>
      </c>
      <c r="C29">
        <v>1351791.03</v>
      </c>
      <c r="D29">
        <v>0</v>
      </c>
      <c r="E29">
        <v>80.94</v>
      </c>
      <c r="F29">
        <v>2.6240000000000001</v>
      </c>
      <c r="G29">
        <v>211.5972246</v>
      </c>
      <c r="H29">
        <v>7.7869999999999999</v>
      </c>
      <c r="I29" t="str">
        <f>IF(Cleaned_Data[[#This Row],[Holiday_Flag]]=1,"Holiday","Non-Holiday")</f>
        <v>Non-Holiday</v>
      </c>
    </row>
    <row r="30" spans="1:9" x14ac:dyDescent="0.35">
      <c r="A30">
        <v>1</v>
      </c>
      <c r="B30" s="1">
        <v>40400</v>
      </c>
      <c r="C30">
        <v>1508239.93</v>
      </c>
      <c r="D30">
        <v>0</v>
      </c>
      <c r="E30">
        <v>63.93</v>
      </c>
      <c r="F30">
        <v>2.633</v>
      </c>
      <c r="G30">
        <v>211.74675439999999</v>
      </c>
      <c r="H30">
        <v>7.8380000000000001</v>
      </c>
      <c r="I30" t="str">
        <f>IF(Cleaned_Data[[#This Row],[Holiday_Flag]]=1,"Holiday","Non-Holiday")</f>
        <v>Non-Holiday</v>
      </c>
    </row>
    <row r="31" spans="1:9" x14ac:dyDescent="0.35">
      <c r="A31">
        <v>1</v>
      </c>
      <c r="B31" s="1">
        <v>40466</v>
      </c>
      <c r="C31">
        <v>1459409.1</v>
      </c>
      <c r="D31">
        <v>0</v>
      </c>
      <c r="E31">
        <v>67.180000000000007</v>
      </c>
      <c r="F31">
        <v>2.72</v>
      </c>
      <c r="G31">
        <v>211.81374360000001</v>
      </c>
      <c r="H31">
        <v>7.8380000000000001</v>
      </c>
      <c r="I31" t="str">
        <f>IF(Cleaned_Data[[#This Row],[Holiday_Flag]]=1,"Holiday","Non-Holiday")</f>
        <v>Non-Holiday</v>
      </c>
    </row>
    <row r="32" spans="1:9" x14ac:dyDescent="0.35">
      <c r="A32">
        <v>1</v>
      </c>
      <c r="B32" s="1">
        <v>40473</v>
      </c>
      <c r="C32">
        <v>1345454</v>
      </c>
      <c r="D32">
        <v>0</v>
      </c>
      <c r="E32">
        <v>69.86</v>
      </c>
      <c r="F32">
        <v>2.7250000000000001</v>
      </c>
      <c r="G32">
        <v>211.8612937</v>
      </c>
      <c r="H32">
        <v>7.8380000000000001</v>
      </c>
      <c r="I32" t="str">
        <f>IF(Cleaned_Data[[#This Row],[Holiday_Flag]]=1,"Holiday","Non-Holiday")</f>
        <v>Non-Holiday</v>
      </c>
    </row>
    <row r="33" spans="1:9" x14ac:dyDescent="0.35">
      <c r="A33">
        <v>1</v>
      </c>
      <c r="B33" s="1">
        <v>40523</v>
      </c>
      <c r="C33">
        <v>1494479.49</v>
      </c>
      <c r="D33">
        <v>0</v>
      </c>
      <c r="E33">
        <v>59.61</v>
      </c>
      <c r="F33">
        <v>2.7280000000000002</v>
      </c>
      <c r="G33">
        <v>212.00394399999999</v>
      </c>
      <c r="H33">
        <v>7.8380000000000001</v>
      </c>
      <c r="I33" t="str">
        <f>IF(Cleaned_Data[[#This Row],[Holiday_Flag]]=1,"Holiday","Non-Holiday")</f>
        <v>Non-Holiday</v>
      </c>
    </row>
    <row r="34" spans="1:9" x14ac:dyDescent="0.35">
      <c r="A34">
        <v>1</v>
      </c>
      <c r="B34" s="1">
        <v>40501</v>
      </c>
      <c r="C34">
        <v>1483784.18</v>
      </c>
      <c r="D34">
        <v>0</v>
      </c>
      <c r="E34">
        <v>51.41</v>
      </c>
      <c r="F34">
        <v>2.7709999999999999</v>
      </c>
      <c r="G34">
        <v>211.8896737</v>
      </c>
      <c r="H34">
        <v>7.8380000000000001</v>
      </c>
      <c r="I34" t="str">
        <f>IF(Cleaned_Data[[#This Row],[Holiday_Flag]]=1,"Holiday","Non-Holiday")</f>
        <v>Non-Holiday</v>
      </c>
    </row>
    <row r="35" spans="1:9" x14ac:dyDescent="0.35">
      <c r="A35">
        <v>1</v>
      </c>
      <c r="B35" s="1">
        <v>40508</v>
      </c>
      <c r="C35">
        <v>1955624.11</v>
      </c>
      <c r="D35">
        <v>1</v>
      </c>
      <c r="E35">
        <v>64.52</v>
      </c>
      <c r="F35">
        <v>2.7349999999999999</v>
      </c>
      <c r="G35">
        <v>211.74843329999999</v>
      </c>
      <c r="H35">
        <v>7.8380000000000001</v>
      </c>
      <c r="I35" t="str">
        <f>IF(Cleaned_Data[[#This Row],[Holiday_Flag]]=1,"Holiday","Non-Holiday")</f>
        <v>Holiday</v>
      </c>
    </row>
    <row r="36" spans="1:9" x14ac:dyDescent="0.35">
      <c r="A36">
        <v>1</v>
      </c>
      <c r="B36" s="1">
        <v>40249</v>
      </c>
      <c r="C36">
        <v>1548033.78</v>
      </c>
      <c r="D36">
        <v>0</v>
      </c>
      <c r="E36">
        <v>49.27</v>
      </c>
      <c r="F36">
        <v>2.7080000000000002</v>
      </c>
      <c r="G36">
        <v>211.607193</v>
      </c>
      <c r="H36">
        <v>7.8380000000000001</v>
      </c>
      <c r="I36" t="str">
        <f>IF(Cleaned_Data[[#This Row],[Holiday_Flag]]=1,"Holiday","Non-Holiday")</f>
        <v>Non-Holiday</v>
      </c>
    </row>
    <row r="37" spans="1:9" x14ac:dyDescent="0.35">
      <c r="A37">
        <v>1</v>
      </c>
      <c r="B37" s="1">
        <v>40463</v>
      </c>
      <c r="C37">
        <v>1682614.26</v>
      </c>
      <c r="D37">
        <v>0</v>
      </c>
      <c r="E37">
        <v>46.33</v>
      </c>
      <c r="F37">
        <v>2.843</v>
      </c>
      <c r="G37">
        <v>211.46595260000001</v>
      </c>
      <c r="H37">
        <v>7.8380000000000001</v>
      </c>
      <c r="I37" t="str">
        <f>IF(Cleaned_Data[[#This Row],[Holiday_Flag]]=1,"Holiday","Non-Holiday")</f>
        <v>Non-Holiday</v>
      </c>
    </row>
    <row r="38" spans="1:9" x14ac:dyDescent="0.35">
      <c r="A38">
        <v>1</v>
      </c>
      <c r="B38" s="1">
        <v>40529</v>
      </c>
      <c r="C38">
        <v>1891034.93</v>
      </c>
      <c r="D38">
        <v>0</v>
      </c>
      <c r="E38">
        <v>49.84</v>
      </c>
      <c r="F38">
        <v>2.8690000000000002</v>
      </c>
      <c r="G38">
        <v>211.40531240000001</v>
      </c>
      <c r="H38">
        <v>7.8380000000000001</v>
      </c>
      <c r="I38" t="str">
        <f>IF(Cleaned_Data[[#This Row],[Holiday_Flag]]=1,"Holiday","Non-Holiday")</f>
        <v>Non-Holiday</v>
      </c>
    </row>
    <row r="39" spans="1:9" x14ac:dyDescent="0.35">
      <c r="A39">
        <v>1</v>
      </c>
      <c r="B39" s="1">
        <v>40536</v>
      </c>
      <c r="C39">
        <v>2387950.2000000002</v>
      </c>
      <c r="D39">
        <v>0</v>
      </c>
      <c r="E39">
        <v>52.33</v>
      </c>
      <c r="F39">
        <v>2.8860000000000001</v>
      </c>
      <c r="G39">
        <v>211.40512219999999</v>
      </c>
      <c r="H39">
        <v>7.8380000000000001</v>
      </c>
      <c r="I39" t="str">
        <f>IF(Cleaned_Data[[#This Row],[Holiday_Flag]]=1,"Holiday","Non-Holiday")</f>
        <v>Non-Holiday</v>
      </c>
    </row>
    <row r="40" spans="1:9" x14ac:dyDescent="0.35">
      <c r="A40">
        <v>1</v>
      </c>
      <c r="B40" s="1">
        <v>40543</v>
      </c>
      <c r="C40">
        <v>1367320.01</v>
      </c>
      <c r="D40">
        <v>1</v>
      </c>
      <c r="E40">
        <v>48.43</v>
      </c>
      <c r="F40">
        <v>2.9430000000000001</v>
      </c>
      <c r="G40">
        <v>211.4049321</v>
      </c>
      <c r="H40">
        <v>7.8380000000000001</v>
      </c>
      <c r="I40" t="str">
        <f>IF(Cleaned_Data[[#This Row],[Holiday_Flag]]=1,"Holiday","Non-Holiday")</f>
        <v>Holiday</v>
      </c>
    </row>
    <row r="41" spans="1:9" x14ac:dyDescent="0.35">
      <c r="A41">
        <v>1</v>
      </c>
      <c r="B41" s="1">
        <v>40725</v>
      </c>
      <c r="C41">
        <v>1444732.28</v>
      </c>
      <c r="D41">
        <v>0</v>
      </c>
      <c r="E41">
        <v>48.27</v>
      </c>
      <c r="F41">
        <v>2.976</v>
      </c>
      <c r="G41">
        <v>211.4047419</v>
      </c>
      <c r="H41">
        <v>7.742</v>
      </c>
      <c r="I41" t="str">
        <f>IF(Cleaned_Data[[#This Row],[Holiday_Flag]]=1,"Holiday","Non-Holiday")</f>
        <v>Non-Holiday</v>
      </c>
    </row>
    <row r="42" spans="1:9" x14ac:dyDescent="0.35">
      <c r="A42">
        <v>1</v>
      </c>
      <c r="B42" s="1">
        <v>40564</v>
      </c>
      <c r="C42">
        <v>1327405.42</v>
      </c>
      <c r="D42">
        <v>0</v>
      </c>
      <c r="E42">
        <v>44.04</v>
      </c>
      <c r="F42">
        <v>3.016</v>
      </c>
      <c r="G42">
        <v>211.82723429999999</v>
      </c>
      <c r="H42">
        <v>7.742</v>
      </c>
      <c r="I42" t="str">
        <f>IF(Cleaned_Data[[#This Row],[Holiday_Flag]]=1,"Holiday","Non-Holiday")</f>
        <v>Non-Holiday</v>
      </c>
    </row>
    <row r="43" spans="1:9" x14ac:dyDescent="0.35">
      <c r="A43">
        <v>1</v>
      </c>
      <c r="B43" s="1">
        <v>40571</v>
      </c>
      <c r="C43">
        <v>1316899.31</v>
      </c>
      <c r="D43">
        <v>0</v>
      </c>
      <c r="E43">
        <v>43.83</v>
      </c>
      <c r="F43">
        <v>3.01</v>
      </c>
      <c r="G43">
        <v>212.19705769999999</v>
      </c>
      <c r="H43">
        <v>7.742</v>
      </c>
      <c r="I43" t="str">
        <f>IF(Cleaned_Data[[#This Row],[Holiday_Flag]]=1,"Holiday","Non-Holiday")</f>
        <v>Non-Holiday</v>
      </c>
    </row>
    <row r="44" spans="1:9" x14ac:dyDescent="0.35">
      <c r="A44">
        <v>1</v>
      </c>
      <c r="B44" s="1">
        <v>40849</v>
      </c>
      <c r="C44">
        <v>1649614.93</v>
      </c>
      <c r="D44">
        <v>1</v>
      </c>
      <c r="E44">
        <v>36.39</v>
      </c>
      <c r="F44">
        <v>3.0219999999999998</v>
      </c>
      <c r="G44">
        <v>212.93670460000001</v>
      </c>
      <c r="H44">
        <v>7.742</v>
      </c>
      <c r="I44" t="str">
        <f>IF(Cleaned_Data[[#This Row],[Holiday_Flag]]=1,"Holiday","Non-Holiday")</f>
        <v>Holiday</v>
      </c>
    </row>
    <row r="45" spans="1:9" x14ac:dyDescent="0.35">
      <c r="A45">
        <v>1</v>
      </c>
      <c r="B45" s="1">
        <v>40592</v>
      </c>
      <c r="C45">
        <v>1686842.78</v>
      </c>
      <c r="D45">
        <v>0</v>
      </c>
      <c r="E45">
        <v>57.36</v>
      </c>
      <c r="F45">
        <v>3.0449999999999999</v>
      </c>
      <c r="G45">
        <v>213.24788530000001</v>
      </c>
      <c r="H45">
        <v>7.742</v>
      </c>
      <c r="I45" t="str">
        <f>IF(Cleaned_Data[[#This Row],[Holiday_Flag]]=1,"Holiday","Non-Holiday")</f>
        <v>Non-Holiday</v>
      </c>
    </row>
    <row r="46" spans="1:9" x14ac:dyDescent="0.35">
      <c r="A46">
        <v>1</v>
      </c>
      <c r="B46" s="1">
        <v>40599</v>
      </c>
      <c r="C46">
        <v>1456800.28</v>
      </c>
      <c r="D46">
        <v>0</v>
      </c>
      <c r="E46">
        <v>62.9</v>
      </c>
      <c r="F46">
        <v>3.0649999999999999</v>
      </c>
      <c r="G46">
        <v>213.53560899999999</v>
      </c>
      <c r="H46">
        <v>7.742</v>
      </c>
      <c r="I46" t="str">
        <f>IF(Cleaned_Data[[#This Row],[Holiday_Flag]]=1,"Holiday","Non-Holiday")</f>
        <v>Non-Holiday</v>
      </c>
    </row>
    <row r="47" spans="1:9" x14ac:dyDescent="0.35">
      <c r="A47">
        <v>1</v>
      </c>
      <c r="B47" s="1">
        <v>40636</v>
      </c>
      <c r="C47">
        <v>1636263.41</v>
      </c>
      <c r="D47">
        <v>0</v>
      </c>
      <c r="E47">
        <v>59.58</v>
      </c>
      <c r="F47">
        <v>3.2879999999999998</v>
      </c>
      <c r="G47">
        <v>213.82333270000001</v>
      </c>
      <c r="H47">
        <v>7.742</v>
      </c>
      <c r="I47" t="str">
        <f>IF(Cleaned_Data[[#This Row],[Holiday_Flag]]=1,"Holiday","Non-Holiday")</f>
        <v>Non-Holiday</v>
      </c>
    </row>
    <row r="48" spans="1:9" x14ac:dyDescent="0.35">
      <c r="A48">
        <v>1</v>
      </c>
      <c r="B48" s="1">
        <v>40620</v>
      </c>
      <c r="C48">
        <v>1576818.06</v>
      </c>
      <c r="D48">
        <v>0</v>
      </c>
      <c r="E48">
        <v>62.76</v>
      </c>
      <c r="F48">
        <v>3.488</v>
      </c>
      <c r="G48">
        <v>214.36271139999999</v>
      </c>
      <c r="H48">
        <v>7.742</v>
      </c>
      <c r="I48" t="str">
        <f>IF(Cleaned_Data[[#This Row],[Holiday_Flag]]=1,"Holiday","Non-Holiday")</f>
        <v>Non-Holiday</v>
      </c>
    </row>
    <row r="49" spans="1:9" x14ac:dyDescent="0.35">
      <c r="A49">
        <v>1</v>
      </c>
      <c r="B49" s="1">
        <v>40627</v>
      </c>
      <c r="C49">
        <v>1541102.38</v>
      </c>
      <c r="D49">
        <v>0</v>
      </c>
      <c r="E49">
        <v>69.97</v>
      </c>
      <c r="F49">
        <v>3.4729999999999999</v>
      </c>
      <c r="G49">
        <v>214.59993890000001</v>
      </c>
      <c r="H49">
        <v>7.742</v>
      </c>
      <c r="I49" t="str">
        <f>IF(Cleaned_Data[[#This Row],[Holiday_Flag]]=1,"Holiday","Non-Holiday")</f>
        <v>Non-Holiday</v>
      </c>
    </row>
    <row r="50" spans="1:9" x14ac:dyDescent="0.35">
      <c r="A50">
        <v>1</v>
      </c>
      <c r="B50" s="1">
        <v>40759</v>
      </c>
      <c r="C50">
        <v>1614259.35</v>
      </c>
      <c r="D50">
        <v>0</v>
      </c>
      <c r="E50">
        <v>67.84</v>
      </c>
      <c r="F50">
        <v>3.6219999999999999</v>
      </c>
      <c r="G50">
        <v>215.07439389999999</v>
      </c>
      <c r="H50">
        <v>7.6820000000000004</v>
      </c>
      <c r="I50" t="str">
        <f>IF(Cleaned_Data[[#This Row],[Holiday_Flag]]=1,"Holiday","Non-Holiday")</f>
        <v>Non-Holiday</v>
      </c>
    </row>
    <row r="51" spans="1:9" x14ac:dyDescent="0.35">
      <c r="A51">
        <v>1</v>
      </c>
      <c r="B51" s="1">
        <v>40648</v>
      </c>
      <c r="C51">
        <v>1559889</v>
      </c>
      <c r="D51">
        <v>0</v>
      </c>
      <c r="E51">
        <v>71.27</v>
      </c>
      <c r="F51">
        <v>3.7429999999999999</v>
      </c>
      <c r="G51">
        <v>215.29185609999999</v>
      </c>
      <c r="H51">
        <v>7.6820000000000004</v>
      </c>
      <c r="I51" t="str">
        <f>IF(Cleaned_Data[[#This Row],[Holiday_Flag]]=1,"Holiday","Non-Holiday")</f>
        <v>Non-Holiday</v>
      </c>
    </row>
    <row r="52" spans="1:9" x14ac:dyDescent="0.35">
      <c r="A52">
        <v>1</v>
      </c>
      <c r="B52" s="1">
        <v>40655</v>
      </c>
      <c r="C52">
        <v>1564819.81</v>
      </c>
      <c r="D52">
        <v>0</v>
      </c>
      <c r="E52">
        <v>72.989999999999995</v>
      </c>
      <c r="F52">
        <v>3.8069999999999999</v>
      </c>
      <c r="G52">
        <v>215.4599053</v>
      </c>
      <c r="H52">
        <v>7.6820000000000004</v>
      </c>
      <c r="I52" t="str">
        <f>IF(Cleaned_Data[[#This Row],[Holiday_Flag]]=1,"Holiday","Non-Holiday")</f>
        <v>Non-Holiday</v>
      </c>
    </row>
    <row r="53" spans="1:9" x14ac:dyDescent="0.35">
      <c r="A53">
        <v>1</v>
      </c>
      <c r="B53" s="1">
        <v>40662</v>
      </c>
      <c r="C53">
        <v>1455090.69</v>
      </c>
      <c r="D53">
        <v>0</v>
      </c>
      <c r="E53">
        <v>72.03</v>
      </c>
      <c r="F53">
        <v>3.81</v>
      </c>
      <c r="G53">
        <v>215.62795439999999</v>
      </c>
      <c r="H53">
        <v>7.6820000000000004</v>
      </c>
      <c r="I53" t="str">
        <f>IF(Cleaned_Data[[#This Row],[Holiday_Flag]]=1,"Holiday","Non-Holiday")</f>
        <v>Non-Holiday</v>
      </c>
    </row>
    <row r="54" spans="1:9" x14ac:dyDescent="0.35">
      <c r="A54">
        <v>1</v>
      </c>
      <c r="B54" s="1">
        <v>40699</v>
      </c>
      <c r="C54">
        <v>1629391.28</v>
      </c>
      <c r="D54">
        <v>0</v>
      </c>
      <c r="E54">
        <v>64.61</v>
      </c>
      <c r="F54">
        <v>3.9060000000000001</v>
      </c>
      <c r="G54">
        <v>215.79600350000001</v>
      </c>
      <c r="H54">
        <v>7.6820000000000004</v>
      </c>
      <c r="I54" t="str">
        <f>IF(Cleaned_Data[[#This Row],[Holiday_Flag]]=1,"Holiday","Non-Holiday")</f>
        <v>Non-Holiday</v>
      </c>
    </row>
    <row r="55" spans="1:9" x14ac:dyDescent="0.35">
      <c r="A55">
        <v>1</v>
      </c>
      <c r="B55" s="1">
        <v>40676</v>
      </c>
      <c r="C55">
        <v>1604775.58</v>
      </c>
      <c r="D55">
        <v>0</v>
      </c>
      <c r="E55">
        <v>75.64</v>
      </c>
      <c r="F55">
        <v>3.899</v>
      </c>
      <c r="G55">
        <v>215.9640526</v>
      </c>
      <c r="H55">
        <v>7.6820000000000004</v>
      </c>
      <c r="I55" t="str">
        <f>IF(Cleaned_Data[[#This Row],[Holiday_Flag]]=1,"Holiday","Non-Holiday")</f>
        <v>Non-Holiday</v>
      </c>
    </row>
    <row r="56" spans="1:9" x14ac:dyDescent="0.35">
      <c r="A56">
        <v>1</v>
      </c>
      <c r="B56" s="1">
        <v>40683</v>
      </c>
      <c r="C56">
        <v>1428218.27</v>
      </c>
      <c r="D56">
        <v>0</v>
      </c>
      <c r="E56">
        <v>67.63</v>
      </c>
      <c r="F56">
        <v>3.907</v>
      </c>
      <c r="G56">
        <v>215.7339202</v>
      </c>
      <c r="H56">
        <v>7.6820000000000004</v>
      </c>
      <c r="I56" t="str">
        <f>IF(Cleaned_Data[[#This Row],[Holiday_Flag]]=1,"Holiday","Non-Holiday")</f>
        <v>Non-Holiday</v>
      </c>
    </row>
    <row r="57" spans="1:9" x14ac:dyDescent="0.35">
      <c r="A57">
        <v>1</v>
      </c>
      <c r="B57" s="1">
        <v>40690</v>
      </c>
      <c r="C57">
        <v>1466046.67</v>
      </c>
      <c r="D57">
        <v>0</v>
      </c>
      <c r="E57">
        <v>77.72</v>
      </c>
      <c r="F57">
        <v>3.786</v>
      </c>
      <c r="G57">
        <v>215.5037878</v>
      </c>
      <c r="H57">
        <v>7.6820000000000004</v>
      </c>
      <c r="I57" t="str">
        <f>IF(Cleaned_Data[[#This Row],[Holiday_Flag]]=1,"Holiday","Non-Holiday")</f>
        <v>Non-Holiday</v>
      </c>
    </row>
    <row r="58" spans="1:9" x14ac:dyDescent="0.35">
      <c r="A58">
        <v>1</v>
      </c>
      <c r="B58" s="1">
        <v>40608</v>
      </c>
      <c r="C58">
        <v>1635078.41</v>
      </c>
      <c r="D58">
        <v>0</v>
      </c>
      <c r="E58">
        <v>83</v>
      </c>
      <c r="F58">
        <v>3.6989999999999998</v>
      </c>
      <c r="G58">
        <v>215.2736553</v>
      </c>
      <c r="H58">
        <v>7.6820000000000004</v>
      </c>
      <c r="I58" t="str">
        <f>IF(Cleaned_Data[[#This Row],[Holiday_Flag]]=1,"Holiday","Non-Holiday")</f>
        <v>Non-Holiday</v>
      </c>
    </row>
    <row r="59" spans="1:9" x14ac:dyDescent="0.35">
      <c r="A59">
        <v>1</v>
      </c>
      <c r="B59" s="1">
        <v>40822</v>
      </c>
      <c r="C59">
        <v>1588948.32</v>
      </c>
      <c r="D59">
        <v>0</v>
      </c>
      <c r="E59">
        <v>83.13</v>
      </c>
      <c r="F59">
        <v>3.6480000000000001</v>
      </c>
      <c r="G59">
        <v>215.0435229</v>
      </c>
      <c r="H59">
        <v>7.6820000000000004</v>
      </c>
      <c r="I59" t="str">
        <f>IF(Cleaned_Data[[#This Row],[Holiday_Flag]]=1,"Holiday","Non-Holiday")</f>
        <v>Non-Holiday</v>
      </c>
    </row>
    <row r="60" spans="1:9" x14ac:dyDescent="0.35">
      <c r="A60">
        <v>1</v>
      </c>
      <c r="B60" s="1">
        <v>40711</v>
      </c>
      <c r="C60">
        <v>1532114.86</v>
      </c>
      <c r="D60">
        <v>0</v>
      </c>
      <c r="E60">
        <v>86.41</v>
      </c>
      <c r="F60">
        <v>3.637</v>
      </c>
      <c r="G60">
        <v>214.9980596</v>
      </c>
      <c r="H60">
        <v>7.6820000000000004</v>
      </c>
      <c r="I60" t="str">
        <f>IF(Cleaned_Data[[#This Row],[Holiday_Flag]]=1,"Holiday","Non-Holiday")</f>
        <v>Non-Holiday</v>
      </c>
    </row>
    <row r="61" spans="1:9" x14ac:dyDescent="0.35">
      <c r="A61">
        <v>1</v>
      </c>
      <c r="B61" s="1">
        <v>40718</v>
      </c>
      <c r="C61">
        <v>1438830.15</v>
      </c>
      <c r="D61">
        <v>0</v>
      </c>
      <c r="E61">
        <v>83.58</v>
      </c>
      <c r="F61">
        <v>3.5939999999999999</v>
      </c>
      <c r="G61">
        <v>215.0910982</v>
      </c>
      <c r="H61">
        <v>7.6820000000000004</v>
      </c>
      <c r="I61" t="str">
        <f>IF(Cleaned_Data[[#This Row],[Holiday_Flag]]=1,"Holiday","Non-Holiday")</f>
        <v>Non-Holiday</v>
      </c>
    </row>
    <row r="62" spans="1:9" x14ac:dyDescent="0.35">
      <c r="A62">
        <v>1</v>
      </c>
      <c r="B62" s="1">
        <v>40550</v>
      </c>
      <c r="C62">
        <v>1488538.09</v>
      </c>
      <c r="D62">
        <v>0</v>
      </c>
      <c r="E62">
        <v>85.55</v>
      </c>
      <c r="F62">
        <v>3.524</v>
      </c>
      <c r="G62">
        <v>215.1841368</v>
      </c>
      <c r="H62">
        <v>7.9619999999999997</v>
      </c>
      <c r="I62" t="str">
        <f>IF(Cleaned_Data[[#This Row],[Holiday_Flag]]=1,"Holiday","Non-Holiday")</f>
        <v>Non-Holiday</v>
      </c>
    </row>
    <row r="63" spans="1:9" x14ac:dyDescent="0.35">
      <c r="A63">
        <v>1</v>
      </c>
      <c r="B63" s="1">
        <v>40762</v>
      </c>
      <c r="C63">
        <v>1534849.64</v>
      </c>
      <c r="D63">
        <v>0</v>
      </c>
      <c r="E63">
        <v>85.83</v>
      </c>
      <c r="F63">
        <v>3.48</v>
      </c>
      <c r="G63">
        <v>215.2771754</v>
      </c>
      <c r="H63">
        <v>7.9619999999999997</v>
      </c>
      <c r="I63" t="str">
        <f>IF(Cleaned_Data[[#This Row],[Holiday_Flag]]=1,"Holiday","Non-Holiday")</f>
        <v>Non-Holiday</v>
      </c>
    </row>
    <row r="64" spans="1:9" x14ac:dyDescent="0.35">
      <c r="A64">
        <v>1</v>
      </c>
      <c r="B64" s="1">
        <v>40739</v>
      </c>
      <c r="C64">
        <v>1455119.97</v>
      </c>
      <c r="D64">
        <v>0</v>
      </c>
      <c r="E64">
        <v>88.54</v>
      </c>
      <c r="F64">
        <v>3.5750000000000002</v>
      </c>
      <c r="G64">
        <v>215.36110869999999</v>
      </c>
      <c r="H64">
        <v>7.9619999999999997</v>
      </c>
      <c r="I64" t="str">
        <f>IF(Cleaned_Data[[#This Row],[Holiday_Flag]]=1,"Holiday","Non-Holiday")</f>
        <v>Non-Holiday</v>
      </c>
    </row>
    <row r="65" spans="1:9" x14ac:dyDescent="0.35">
      <c r="A65">
        <v>1</v>
      </c>
      <c r="B65" s="1">
        <v>40746</v>
      </c>
      <c r="C65">
        <v>1396926.82</v>
      </c>
      <c r="D65">
        <v>0</v>
      </c>
      <c r="E65">
        <v>85.77</v>
      </c>
      <c r="F65">
        <v>3.6509999999999998</v>
      </c>
      <c r="G65">
        <v>215.42227840000001</v>
      </c>
      <c r="H65">
        <v>7.9619999999999997</v>
      </c>
      <c r="I65" t="str">
        <f>IF(Cleaned_Data[[#This Row],[Holiday_Flag]]=1,"Holiday","Non-Holiday")</f>
        <v>Non-Holiday</v>
      </c>
    </row>
    <row r="66" spans="1:9" x14ac:dyDescent="0.35">
      <c r="A66">
        <v>1</v>
      </c>
      <c r="B66" s="1">
        <v>40753</v>
      </c>
      <c r="C66">
        <v>1352219.79</v>
      </c>
      <c r="D66">
        <v>0</v>
      </c>
      <c r="E66">
        <v>86.83</v>
      </c>
      <c r="F66">
        <v>3.6819999999999999</v>
      </c>
      <c r="G66">
        <v>215.4834482</v>
      </c>
      <c r="H66">
        <v>7.9619999999999997</v>
      </c>
      <c r="I66" t="str">
        <f>IF(Cleaned_Data[[#This Row],[Holiday_Flag]]=1,"Holiday","Non-Holiday")</f>
        <v>Non-Holiday</v>
      </c>
    </row>
    <row r="67" spans="1:9" x14ac:dyDescent="0.35">
      <c r="A67">
        <v>1</v>
      </c>
      <c r="B67" s="1">
        <v>40671</v>
      </c>
      <c r="C67">
        <v>1624383.75</v>
      </c>
      <c r="D67">
        <v>0</v>
      </c>
      <c r="E67">
        <v>91.65</v>
      </c>
      <c r="F67">
        <v>3.6840000000000002</v>
      </c>
      <c r="G67">
        <v>215.54461800000001</v>
      </c>
      <c r="H67">
        <v>7.9619999999999997</v>
      </c>
      <c r="I67" t="str">
        <f>IF(Cleaned_Data[[#This Row],[Holiday_Flag]]=1,"Holiday","Non-Holiday")</f>
        <v>Non-Holiday</v>
      </c>
    </row>
    <row r="68" spans="1:9" x14ac:dyDescent="0.35">
      <c r="A68">
        <v>1</v>
      </c>
      <c r="B68" s="1">
        <v>40885</v>
      </c>
      <c r="C68">
        <v>1525147.09</v>
      </c>
      <c r="D68">
        <v>0</v>
      </c>
      <c r="E68">
        <v>90.76</v>
      </c>
      <c r="F68">
        <v>3.6379999999999999</v>
      </c>
      <c r="G68">
        <v>215.6057878</v>
      </c>
      <c r="H68">
        <v>7.9619999999999997</v>
      </c>
      <c r="I68" t="str">
        <f>IF(Cleaned_Data[[#This Row],[Holiday_Flag]]=1,"Holiday","Non-Holiday")</f>
        <v>Non-Holiday</v>
      </c>
    </row>
    <row r="69" spans="1:9" x14ac:dyDescent="0.35">
      <c r="A69">
        <v>1</v>
      </c>
      <c r="B69" s="1">
        <v>40774</v>
      </c>
      <c r="C69">
        <v>1530761.43</v>
      </c>
      <c r="D69">
        <v>0</v>
      </c>
      <c r="E69">
        <v>89.94</v>
      </c>
      <c r="F69">
        <v>3.5539999999999998</v>
      </c>
      <c r="G69">
        <v>215.66931070000001</v>
      </c>
      <c r="H69">
        <v>7.9619999999999997</v>
      </c>
      <c r="I69" t="str">
        <f>IF(Cleaned_Data[[#This Row],[Holiday_Flag]]=1,"Holiday","Non-Holiday")</f>
        <v>Non-Holiday</v>
      </c>
    </row>
    <row r="70" spans="1:9" x14ac:dyDescent="0.35">
      <c r="A70">
        <v>1</v>
      </c>
      <c r="B70" s="1">
        <v>40781</v>
      </c>
      <c r="C70">
        <v>1464693.46</v>
      </c>
      <c r="D70">
        <v>0</v>
      </c>
      <c r="E70">
        <v>87.96</v>
      </c>
      <c r="F70">
        <v>3.5230000000000001</v>
      </c>
      <c r="G70">
        <v>215.73322580000001</v>
      </c>
      <c r="H70">
        <v>7.9619999999999997</v>
      </c>
      <c r="I70" t="str">
        <f>IF(Cleaned_Data[[#This Row],[Holiday_Flag]]=1,"Holiday","Non-Holiday")</f>
        <v>Non-Holiday</v>
      </c>
    </row>
    <row r="71" spans="1:9" x14ac:dyDescent="0.35">
      <c r="A71">
        <v>1</v>
      </c>
      <c r="B71" s="1">
        <v>40583</v>
      </c>
      <c r="C71">
        <v>1550229.22</v>
      </c>
      <c r="D71">
        <v>0</v>
      </c>
      <c r="E71">
        <v>87.83</v>
      </c>
      <c r="F71">
        <v>3.5329999999999999</v>
      </c>
      <c r="G71">
        <v>215.79714089999999</v>
      </c>
      <c r="H71">
        <v>7.9619999999999997</v>
      </c>
      <c r="I71" t="str">
        <f>IF(Cleaned_Data[[#This Row],[Holiday_Flag]]=1,"Holiday","Non-Holiday")</f>
        <v>Non-Holiday</v>
      </c>
    </row>
    <row r="72" spans="1:9" x14ac:dyDescent="0.35">
      <c r="A72">
        <v>1</v>
      </c>
      <c r="B72" s="1">
        <v>40795</v>
      </c>
      <c r="C72">
        <v>1540471.24</v>
      </c>
      <c r="D72">
        <v>1</v>
      </c>
      <c r="E72">
        <v>76</v>
      </c>
      <c r="F72">
        <v>3.5459999999999998</v>
      </c>
      <c r="G72">
        <v>215.86105599999999</v>
      </c>
      <c r="H72">
        <v>7.9619999999999997</v>
      </c>
      <c r="I72" t="str">
        <f>IF(Cleaned_Data[[#This Row],[Holiday_Flag]]=1,"Holiday","Non-Holiday")</f>
        <v>Holiday</v>
      </c>
    </row>
    <row r="73" spans="1:9" x14ac:dyDescent="0.35">
      <c r="A73">
        <v>1</v>
      </c>
      <c r="B73" s="1">
        <v>40802</v>
      </c>
      <c r="C73">
        <v>1514259.78</v>
      </c>
      <c r="D73">
        <v>0</v>
      </c>
      <c r="E73">
        <v>79.94</v>
      </c>
      <c r="F73">
        <v>3.5259999999999998</v>
      </c>
      <c r="G73">
        <v>216.0410526</v>
      </c>
      <c r="H73">
        <v>7.9619999999999997</v>
      </c>
      <c r="I73" t="str">
        <f>IF(Cleaned_Data[[#This Row],[Holiday_Flag]]=1,"Holiday","Non-Holiday")</f>
        <v>Non-Holiday</v>
      </c>
    </row>
    <row r="74" spans="1:9" x14ac:dyDescent="0.35">
      <c r="A74">
        <v>1</v>
      </c>
      <c r="B74" s="1">
        <v>40809</v>
      </c>
      <c r="C74">
        <v>1380020.27</v>
      </c>
      <c r="D74">
        <v>0</v>
      </c>
      <c r="E74">
        <v>75.8</v>
      </c>
      <c r="F74">
        <v>3.4670000000000001</v>
      </c>
      <c r="G74">
        <v>216.37582459999999</v>
      </c>
      <c r="H74">
        <v>7.9619999999999997</v>
      </c>
      <c r="I74" t="str">
        <f>IF(Cleaned_Data[[#This Row],[Holiday_Flag]]=1,"Holiday","Non-Holiday")</f>
        <v>Non-Holiday</v>
      </c>
    </row>
    <row r="75" spans="1:9" x14ac:dyDescent="0.35">
      <c r="A75">
        <v>1</v>
      </c>
      <c r="B75" s="1">
        <v>40816</v>
      </c>
      <c r="C75">
        <v>1394561.83</v>
      </c>
      <c r="D75">
        <v>0</v>
      </c>
      <c r="E75">
        <v>79.69</v>
      </c>
      <c r="F75">
        <v>3.355</v>
      </c>
      <c r="G75">
        <v>216.71059650000001</v>
      </c>
      <c r="H75">
        <v>7.9619999999999997</v>
      </c>
      <c r="I75" t="str">
        <f>IF(Cleaned_Data[[#This Row],[Holiday_Flag]]=1,"Holiday","Non-Holiday")</f>
        <v>Non-Holiday</v>
      </c>
    </row>
    <row r="76" spans="1:9" x14ac:dyDescent="0.35">
      <c r="A76">
        <v>1</v>
      </c>
      <c r="B76" s="1">
        <v>40734</v>
      </c>
      <c r="C76">
        <v>1630989.95</v>
      </c>
      <c r="D76">
        <v>0</v>
      </c>
      <c r="E76">
        <v>69.31</v>
      </c>
      <c r="F76">
        <v>3.2850000000000001</v>
      </c>
      <c r="G76">
        <v>217.0453684</v>
      </c>
      <c r="H76">
        <v>7.8659999999999997</v>
      </c>
      <c r="I76" t="str">
        <f>IF(Cleaned_Data[[#This Row],[Holiday_Flag]]=1,"Holiday","Non-Holiday")</f>
        <v>Non-Holiday</v>
      </c>
    </row>
    <row r="77" spans="1:9" x14ac:dyDescent="0.35">
      <c r="A77">
        <v>1</v>
      </c>
      <c r="B77" s="1">
        <v>40830</v>
      </c>
      <c r="C77">
        <v>1493525.93</v>
      </c>
      <c r="D77">
        <v>0</v>
      </c>
      <c r="E77">
        <v>71.739999999999995</v>
      </c>
      <c r="F77">
        <v>3.274</v>
      </c>
      <c r="G77">
        <v>217.35527329999999</v>
      </c>
      <c r="H77">
        <v>7.8659999999999997</v>
      </c>
      <c r="I77" t="str">
        <f>IF(Cleaned_Data[[#This Row],[Holiday_Flag]]=1,"Holiday","Non-Holiday")</f>
        <v>Non-Holiday</v>
      </c>
    </row>
    <row r="78" spans="1:9" x14ac:dyDescent="0.35">
      <c r="A78">
        <v>1</v>
      </c>
      <c r="B78" s="1">
        <v>40837</v>
      </c>
      <c r="C78">
        <v>1502562.78</v>
      </c>
      <c r="D78">
        <v>0</v>
      </c>
      <c r="E78">
        <v>63.71</v>
      </c>
      <c r="F78">
        <v>3.3530000000000002</v>
      </c>
      <c r="G78">
        <v>217.51597620000001</v>
      </c>
      <c r="H78">
        <v>7.8659999999999997</v>
      </c>
      <c r="I78" t="str">
        <f>IF(Cleaned_Data[[#This Row],[Holiday_Flag]]=1,"Holiday","Non-Holiday")</f>
        <v>Non-Holiday</v>
      </c>
    </row>
    <row r="79" spans="1:9" x14ac:dyDescent="0.35">
      <c r="A79">
        <v>1</v>
      </c>
      <c r="B79" s="1">
        <v>40644</v>
      </c>
      <c r="C79">
        <v>1697229.58</v>
      </c>
      <c r="D79">
        <v>0</v>
      </c>
      <c r="E79">
        <v>54.98</v>
      </c>
      <c r="F79">
        <v>3.3319999999999999</v>
      </c>
      <c r="G79">
        <v>217.83738199999999</v>
      </c>
      <c r="H79">
        <v>7.8659999999999997</v>
      </c>
      <c r="I79" t="str">
        <f>IF(Cleaned_Data[[#This Row],[Holiday_Flag]]=1,"Holiday","Non-Holiday")</f>
        <v>Non-Holiday</v>
      </c>
    </row>
    <row r="80" spans="1:9" x14ac:dyDescent="0.35">
      <c r="A80">
        <v>1</v>
      </c>
      <c r="B80" s="1">
        <v>40858</v>
      </c>
      <c r="C80">
        <v>1594938.89</v>
      </c>
      <c r="D80">
        <v>0</v>
      </c>
      <c r="E80">
        <v>59.11</v>
      </c>
      <c r="F80">
        <v>3.2970000000000002</v>
      </c>
      <c r="G80">
        <v>217.99808490000001</v>
      </c>
      <c r="H80">
        <v>7.8659999999999997</v>
      </c>
      <c r="I80" t="str">
        <f>IF(Cleaned_Data[[#This Row],[Holiday_Flag]]=1,"Holiday","Non-Holiday")</f>
        <v>Non-Holiday</v>
      </c>
    </row>
    <row r="81" spans="1:9" x14ac:dyDescent="0.35">
      <c r="A81">
        <v>1</v>
      </c>
      <c r="B81" s="1">
        <v>40872</v>
      </c>
      <c r="C81">
        <v>2033320.66</v>
      </c>
      <c r="D81">
        <v>1</v>
      </c>
      <c r="E81">
        <v>60.14</v>
      </c>
      <c r="F81">
        <v>3.2360000000000002</v>
      </c>
      <c r="G81">
        <v>218.4676211</v>
      </c>
      <c r="H81">
        <v>7.8659999999999997</v>
      </c>
      <c r="I81" t="str">
        <f>IF(Cleaned_Data[[#This Row],[Holiday_Flag]]=1,"Holiday","Non-Holiday")</f>
        <v>Holiday</v>
      </c>
    </row>
    <row r="82" spans="1:9" x14ac:dyDescent="0.35">
      <c r="A82">
        <v>1</v>
      </c>
      <c r="B82" s="1">
        <v>40586</v>
      </c>
      <c r="C82">
        <v>1584083.95</v>
      </c>
      <c r="D82">
        <v>0</v>
      </c>
      <c r="E82">
        <v>48.91</v>
      </c>
      <c r="F82">
        <v>3.1720000000000002</v>
      </c>
      <c r="G82">
        <v>218.71473330000001</v>
      </c>
      <c r="H82">
        <v>7.8659999999999997</v>
      </c>
      <c r="I82" t="str">
        <f>IF(Cleaned_Data[[#This Row],[Holiday_Flag]]=1,"Holiday","Non-Holiday")</f>
        <v>Non-Holiday</v>
      </c>
    </row>
    <row r="83" spans="1:9" x14ac:dyDescent="0.35">
      <c r="A83">
        <v>1</v>
      </c>
      <c r="B83" s="1">
        <v>40798</v>
      </c>
      <c r="C83">
        <v>1799682.38</v>
      </c>
      <c r="D83">
        <v>0</v>
      </c>
      <c r="E83">
        <v>43.93</v>
      </c>
      <c r="F83">
        <v>3.1579999999999999</v>
      </c>
      <c r="G83">
        <v>218.9618456</v>
      </c>
      <c r="H83">
        <v>7.8659999999999997</v>
      </c>
      <c r="I83" t="str">
        <f>IF(Cleaned_Data[[#This Row],[Holiday_Flag]]=1,"Holiday","Non-Holiday")</f>
        <v>Non-Holiday</v>
      </c>
    </row>
    <row r="84" spans="1:9" x14ac:dyDescent="0.35">
      <c r="A84">
        <v>1</v>
      </c>
      <c r="B84" s="1">
        <v>40893</v>
      </c>
      <c r="C84">
        <v>1881176.67</v>
      </c>
      <c r="D84">
        <v>0</v>
      </c>
      <c r="E84">
        <v>51.63</v>
      </c>
      <c r="F84">
        <v>3.1589999999999998</v>
      </c>
      <c r="G84">
        <v>219.17945330000001</v>
      </c>
      <c r="H84">
        <v>7.8659999999999997</v>
      </c>
      <c r="I84" t="str">
        <f>IF(Cleaned_Data[[#This Row],[Holiday_Flag]]=1,"Holiday","Non-Holiday")</f>
        <v>Non-Holiday</v>
      </c>
    </row>
    <row r="85" spans="1:9" x14ac:dyDescent="0.35">
      <c r="A85">
        <v>1</v>
      </c>
      <c r="B85" s="1">
        <v>40900</v>
      </c>
      <c r="C85">
        <v>2270188.9900000002</v>
      </c>
      <c r="D85">
        <v>0</v>
      </c>
      <c r="E85">
        <v>47.96</v>
      </c>
      <c r="F85">
        <v>3.1120000000000001</v>
      </c>
      <c r="G85">
        <v>219.35772159999999</v>
      </c>
      <c r="H85">
        <v>7.8659999999999997</v>
      </c>
      <c r="I85" t="str">
        <f>IF(Cleaned_Data[[#This Row],[Holiday_Flag]]=1,"Holiday","Non-Holiday")</f>
        <v>Non-Holiday</v>
      </c>
    </row>
    <row r="86" spans="1:9" x14ac:dyDescent="0.35">
      <c r="A86">
        <v>1</v>
      </c>
      <c r="B86" s="1">
        <v>40907</v>
      </c>
      <c r="C86">
        <v>1497462.72</v>
      </c>
      <c r="D86">
        <v>0</v>
      </c>
      <c r="E86">
        <v>44.55</v>
      </c>
      <c r="F86">
        <v>3.129</v>
      </c>
      <c r="G86">
        <v>219.53598980000001</v>
      </c>
      <c r="H86">
        <v>7.8659999999999997</v>
      </c>
      <c r="I86" t="str">
        <f>IF(Cleaned_Data[[#This Row],[Holiday_Flag]]=1,"Holiday","Non-Holiday")</f>
        <v>Non-Holiday</v>
      </c>
    </row>
    <row r="87" spans="1:9" x14ac:dyDescent="0.35">
      <c r="A87">
        <v>1</v>
      </c>
      <c r="B87" s="1">
        <v>41061</v>
      </c>
      <c r="C87">
        <v>1550369.92</v>
      </c>
      <c r="D87">
        <v>0</v>
      </c>
      <c r="E87">
        <v>49.01</v>
      </c>
      <c r="F87">
        <v>3.157</v>
      </c>
      <c r="G87">
        <v>219.7142581</v>
      </c>
      <c r="H87">
        <v>7.3479999999999999</v>
      </c>
      <c r="I87" t="str">
        <f>IF(Cleaned_Data[[#This Row],[Holiday_Flag]]=1,"Holiday","Non-Holiday")</f>
        <v>Non-Holiday</v>
      </c>
    </row>
    <row r="88" spans="1:9" x14ac:dyDescent="0.35">
      <c r="A88">
        <v>1</v>
      </c>
      <c r="B88" s="1">
        <v>40921</v>
      </c>
      <c r="C88">
        <v>1459601.17</v>
      </c>
      <c r="D88">
        <v>0</v>
      </c>
      <c r="E88">
        <v>48.53</v>
      </c>
      <c r="F88">
        <v>3.2610000000000001</v>
      </c>
      <c r="G88">
        <v>219.89252629999999</v>
      </c>
      <c r="H88">
        <v>7.3479999999999999</v>
      </c>
      <c r="I88" t="str">
        <f>IF(Cleaned_Data[[#This Row],[Holiday_Flag]]=1,"Holiday","Non-Holiday")</f>
        <v>Non-Holiday</v>
      </c>
    </row>
    <row r="89" spans="1:9" x14ac:dyDescent="0.35">
      <c r="A89">
        <v>1</v>
      </c>
      <c r="B89" s="1">
        <v>40928</v>
      </c>
      <c r="C89">
        <v>1394393.84</v>
      </c>
      <c r="D89">
        <v>0</v>
      </c>
      <c r="E89">
        <v>54.11</v>
      </c>
      <c r="F89">
        <v>3.2679999999999998</v>
      </c>
      <c r="G89">
        <v>219.98568929999999</v>
      </c>
      <c r="H89">
        <v>7.3479999999999999</v>
      </c>
      <c r="I89" t="str">
        <f>IF(Cleaned_Data[[#This Row],[Holiday_Flag]]=1,"Holiday","Non-Holiday")</f>
        <v>Non-Holiday</v>
      </c>
    </row>
    <row r="90" spans="1:9" x14ac:dyDescent="0.35">
      <c r="A90">
        <v>1</v>
      </c>
      <c r="B90" s="1">
        <v>40935</v>
      </c>
      <c r="C90">
        <v>1319325.5900000001</v>
      </c>
      <c r="D90">
        <v>0</v>
      </c>
      <c r="E90">
        <v>54.26</v>
      </c>
      <c r="F90">
        <v>3.29</v>
      </c>
      <c r="G90">
        <v>220.07885229999999</v>
      </c>
      <c r="H90">
        <v>7.3479999999999999</v>
      </c>
      <c r="I90" t="str">
        <f>IF(Cleaned_Data[[#This Row],[Holiday_Flag]]=1,"Holiday","Non-Holiday")</f>
        <v>Non-Holiday</v>
      </c>
    </row>
    <row r="91" spans="1:9" x14ac:dyDescent="0.35">
      <c r="A91">
        <v>1</v>
      </c>
      <c r="B91" s="1">
        <v>40970</v>
      </c>
      <c r="C91">
        <v>1636339.65</v>
      </c>
      <c r="D91">
        <v>0</v>
      </c>
      <c r="E91">
        <v>56.55</v>
      </c>
      <c r="F91">
        <v>3.36</v>
      </c>
      <c r="G91">
        <v>220.1720153</v>
      </c>
      <c r="H91">
        <v>7.3479999999999999</v>
      </c>
      <c r="I91" t="str">
        <f>IF(Cleaned_Data[[#This Row],[Holiday_Flag]]=1,"Holiday","Non-Holiday")</f>
        <v>Non-Holiday</v>
      </c>
    </row>
    <row r="92" spans="1:9" x14ac:dyDescent="0.35">
      <c r="A92">
        <v>1</v>
      </c>
      <c r="B92" s="1">
        <v>41184</v>
      </c>
      <c r="C92">
        <v>1802477.43</v>
      </c>
      <c r="D92">
        <v>1</v>
      </c>
      <c r="E92">
        <v>48.02</v>
      </c>
      <c r="F92">
        <v>3.4089999999999998</v>
      </c>
      <c r="G92">
        <v>220.2651783</v>
      </c>
      <c r="H92">
        <v>7.3479999999999999</v>
      </c>
      <c r="I92" t="str">
        <f>IF(Cleaned_Data[[#This Row],[Holiday_Flag]]=1,"Holiday","Non-Holiday")</f>
        <v>Holiday</v>
      </c>
    </row>
    <row r="93" spans="1:9" x14ac:dyDescent="0.35">
      <c r="A93">
        <v>1</v>
      </c>
      <c r="B93" s="1">
        <v>40956</v>
      </c>
      <c r="C93">
        <v>1819870</v>
      </c>
      <c r="D93">
        <v>0</v>
      </c>
      <c r="E93">
        <v>45.32</v>
      </c>
      <c r="F93">
        <v>3.51</v>
      </c>
      <c r="G93">
        <v>220.42575859999999</v>
      </c>
      <c r="H93">
        <v>7.3479999999999999</v>
      </c>
      <c r="I93" t="str">
        <f>IF(Cleaned_Data[[#This Row],[Holiday_Flag]]=1,"Holiday","Non-Holiday")</f>
        <v>Non-Holiday</v>
      </c>
    </row>
    <row r="94" spans="1:9" x14ac:dyDescent="0.35">
      <c r="A94">
        <v>1</v>
      </c>
      <c r="B94" s="1">
        <v>40963</v>
      </c>
      <c r="C94">
        <v>1539387.83</v>
      </c>
      <c r="D94">
        <v>0</v>
      </c>
      <c r="E94">
        <v>57.25</v>
      </c>
      <c r="F94">
        <v>3.5550000000000002</v>
      </c>
      <c r="G94">
        <v>220.63690199999999</v>
      </c>
      <c r="H94">
        <v>7.3479999999999999</v>
      </c>
      <c r="I94" t="str">
        <f>IF(Cleaned_Data[[#This Row],[Holiday_Flag]]=1,"Holiday","Non-Holiday")</f>
        <v>Non-Holiday</v>
      </c>
    </row>
    <row r="95" spans="1:9" x14ac:dyDescent="0.35">
      <c r="A95">
        <v>1</v>
      </c>
      <c r="B95" s="1">
        <v>40942</v>
      </c>
      <c r="C95">
        <v>1688420.76</v>
      </c>
      <c r="D95">
        <v>0</v>
      </c>
      <c r="E95">
        <v>-60.96</v>
      </c>
      <c r="F95">
        <v>3.63</v>
      </c>
      <c r="G95">
        <v>220.84804539999999</v>
      </c>
      <c r="H95">
        <v>7.3479999999999999</v>
      </c>
      <c r="I95" t="str">
        <f>IF(Cleaned_Data[[#This Row],[Holiday_Flag]]=1,"Holiday","Non-Holiday")</f>
        <v>Non-Holiday</v>
      </c>
    </row>
    <row r="96" spans="1:9" x14ac:dyDescent="0.35">
      <c r="A96">
        <v>1</v>
      </c>
      <c r="B96" s="1">
        <v>41155</v>
      </c>
      <c r="C96">
        <v>1675431.16</v>
      </c>
      <c r="D96">
        <v>0</v>
      </c>
      <c r="E96">
        <v>58.76</v>
      </c>
      <c r="F96">
        <v>3.669</v>
      </c>
      <c r="G96">
        <v>221.05918869999999</v>
      </c>
      <c r="H96">
        <v>7.3479999999999999</v>
      </c>
      <c r="I96" t="str">
        <f>IF(Cleaned_Data[[#This Row],[Holiday_Flag]]=1,"Holiday","Non-Holiday")</f>
        <v>Non-Holiday</v>
      </c>
    </row>
    <row r="97" spans="1:9" x14ac:dyDescent="0.35">
      <c r="A97">
        <v>1</v>
      </c>
      <c r="B97" s="1">
        <v>40984</v>
      </c>
      <c r="C97">
        <v>1677472.78</v>
      </c>
      <c r="D97">
        <v>0</v>
      </c>
      <c r="E97">
        <v>64.739999999999995</v>
      </c>
      <c r="F97">
        <v>3.734</v>
      </c>
      <c r="G97">
        <v>221.21181319999999</v>
      </c>
      <c r="H97">
        <v>7.3479999999999999</v>
      </c>
      <c r="I97" t="str">
        <f>IF(Cleaned_Data[[#This Row],[Holiday_Flag]]=1,"Holiday","Non-Holiday")</f>
        <v>Non-Holiday</v>
      </c>
    </row>
    <row r="98" spans="1:9" x14ac:dyDescent="0.35">
      <c r="A98">
        <v>1</v>
      </c>
      <c r="B98" s="1">
        <v>40991</v>
      </c>
      <c r="C98">
        <v>1511068.07</v>
      </c>
      <c r="D98">
        <v>0</v>
      </c>
      <c r="E98">
        <v>65.930000000000007</v>
      </c>
      <c r="F98">
        <v>3.7869999999999999</v>
      </c>
      <c r="G98">
        <v>221.28641260000001</v>
      </c>
      <c r="H98">
        <v>7.3479999999999999</v>
      </c>
      <c r="I98" t="str">
        <f>IF(Cleaned_Data[[#This Row],[Holiday_Flag]]=1,"Holiday","Non-Holiday")</f>
        <v>Non-Holiday</v>
      </c>
    </row>
    <row r="99" spans="1:9" x14ac:dyDescent="0.35">
      <c r="A99">
        <v>1</v>
      </c>
      <c r="B99" s="1">
        <v>40998</v>
      </c>
      <c r="C99">
        <v>1649604.63</v>
      </c>
      <c r="D99">
        <v>0</v>
      </c>
      <c r="E99">
        <v>67.61</v>
      </c>
      <c r="F99">
        <v>3.8450000000000002</v>
      </c>
      <c r="G99">
        <v>221.36101189999999</v>
      </c>
      <c r="H99">
        <v>7.3479999999999999</v>
      </c>
      <c r="I99" t="str">
        <f>IF(Cleaned_Data[[#This Row],[Holiday_Flag]]=1,"Holiday","Non-Holiday")</f>
        <v>Non-Holiday</v>
      </c>
    </row>
    <row r="100" spans="1:9" x14ac:dyDescent="0.35">
      <c r="A100">
        <v>1</v>
      </c>
      <c r="B100" s="1">
        <v>41064</v>
      </c>
      <c r="C100">
        <v>1899676.88</v>
      </c>
      <c r="D100">
        <v>0</v>
      </c>
      <c r="E100">
        <v>70.430000000000007</v>
      </c>
      <c r="F100">
        <v>3.891</v>
      </c>
      <c r="G100">
        <v>221.43561120000001</v>
      </c>
      <c r="H100">
        <v>7.1429999999999998</v>
      </c>
      <c r="I100" t="str">
        <f>IF(Cleaned_Data[[#This Row],[Holiday_Flag]]=1,"Holiday","Non-Holiday")</f>
        <v>Non-Holiday</v>
      </c>
    </row>
    <row r="101" spans="1:9" x14ac:dyDescent="0.35">
      <c r="A101">
        <v>1</v>
      </c>
      <c r="B101" s="1">
        <v>41012</v>
      </c>
      <c r="C101">
        <v>1621031.7</v>
      </c>
      <c r="D101">
        <v>0</v>
      </c>
      <c r="E101">
        <v>69.069999999999993</v>
      </c>
      <c r="F101">
        <v>3.891</v>
      </c>
      <c r="G101">
        <v>221.5102105</v>
      </c>
      <c r="H101">
        <v>7.1429999999999998</v>
      </c>
      <c r="I101" t="str">
        <f>IF(Cleaned_Data[[#This Row],[Holiday_Flag]]=1,"Holiday","Non-Holiday")</f>
        <v>Non-Holiday</v>
      </c>
    </row>
    <row r="102" spans="1:9" x14ac:dyDescent="0.35">
      <c r="A102">
        <v>1</v>
      </c>
      <c r="B102" s="1">
        <v>41019</v>
      </c>
      <c r="C102">
        <v>1521577.87</v>
      </c>
      <c r="D102">
        <v>0</v>
      </c>
      <c r="E102">
        <v>66.760000000000005</v>
      </c>
      <c r="F102">
        <v>3.8769999999999998</v>
      </c>
      <c r="G102">
        <v>221.56407369999999</v>
      </c>
      <c r="H102">
        <v>7.1429999999999998</v>
      </c>
      <c r="I102" t="str">
        <f>IF(Cleaned_Data[[#This Row],[Holiday_Flag]]=1,"Holiday","Non-Holiday")</f>
        <v>Non-Holiday</v>
      </c>
    </row>
    <row r="103" spans="1:9" x14ac:dyDescent="0.35">
      <c r="A103">
        <v>1</v>
      </c>
      <c r="B103" s="1">
        <v>41026</v>
      </c>
      <c r="C103">
        <v>1468928.37</v>
      </c>
      <c r="D103">
        <v>0</v>
      </c>
      <c r="E103">
        <v>67.23</v>
      </c>
      <c r="F103">
        <v>3.8140000000000001</v>
      </c>
      <c r="G103">
        <v>221.6179368</v>
      </c>
      <c r="H103">
        <v>7.1429999999999998</v>
      </c>
      <c r="I103" t="str">
        <f>IF(Cleaned_Data[[#This Row],[Holiday_Flag]]=1,"Holiday","Non-Holiday")</f>
        <v>Non-Holiday</v>
      </c>
    </row>
    <row r="104" spans="1:9" x14ac:dyDescent="0.35">
      <c r="A104">
        <v>1</v>
      </c>
      <c r="B104" s="1">
        <v>41004</v>
      </c>
      <c r="C104">
        <v>1684519.99</v>
      </c>
      <c r="D104">
        <v>0</v>
      </c>
      <c r="E104">
        <v>75.55</v>
      </c>
      <c r="F104">
        <v>3.7490000000000001</v>
      </c>
      <c r="G104">
        <v>221.67179999999999</v>
      </c>
      <c r="H104">
        <v>7.1429999999999998</v>
      </c>
      <c r="I104" t="str">
        <f>IF(Cleaned_Data[[#This Row],[Holiday_Flag]]=1,"Holiday","Non-Holiday")</f>
        <v>Non-Holiday</v>
      </c>
    </row>
    <row r="105" spans="1:9" x14ac:dyDescent="0.35">
      <c r="A105">
        <v>1</v>
      </c>
      <c r="B105" s="1">
        <v>41218</v>
      </c>
      <c r="C105">
        <v>1611096.05</v>
      </c>
      <c r="D105">
        <v>0</v>
      </c>
      <c r="E105">
        <v>73.77</v>
      </c>
      <c r="F105">
        <v>3.6880000000000002</v>
      </c>
      <c r="G105">
        <v>221.72566320000001</v>
      </c>
      <c r="H105">
        <v>7.1429999999999998</v>
      </c>
      <c r="I105" t="str">
        <f>IF(Cleaned_Data[[#This Row],[Holiday_Flag]]=1,"Holiday","Non-Holiday")</f>
        <v>Non-Holiday</v>
      </c>
    </row>
    <row r="106" spans="1:9" x14ac:dyDescent="0.35">
      <c r="A106">
        <v>1</v>
      </c>
      <c r="B106" s="1">
        <v>41054</v>
      </c>
      <c r="C106">
        <v>1555444.55</v>
      </c>
      <c r="D106">
        <v>0</v>
      </c>
      <c r="E106">
        <v>77.22</v>
      </c>
      <c r="F106">
        <v>3.5609999999999999</v>
      </c>
      <c r="G106">
        <v>221.744944</v>
      </c>
      <c r="H106">
        <v>7.1429999999999998</v>
      </c>
      <c r="I106" t="str">
        <f>IF(Cleaned_Data[[#This Row],[Holiday_Flag]]=1,"Holiday","Non-Holiday")</f>
        <v>Non-Holiday</v>
      </c>
    </row>
    <row r="107" spans="1:9" x14ac:dyDescent="0.35">
      <c r="A107">
        <v>1</v>
      </c>
      <c r="B107" s="1">
        <v>40914</v>
      </c>
      <c r="C107">
        <v>1624477.58</v>
      </c>
      <c r="D107">
        <v>0</v>
      </c>
      <c r="E107">
        <v>77.95</v>
      </c>
      <c r="F107">
        <v>3.5009999999999999</v>
      </c>
      <c r="G107">
        <v>221.74721389999999</v>
      </c>
      <c r="H107">
        <v>7.1429999999999998</v>
      </c>
      <c r="I107" t="str">
        <f>IF(Cleaned_Data[[#This Row],[Holiday_Flag]]=1,"Holiday","Non-Holiday")</f>
        <v>Non-Holiday</v>
      </c>
    </row>
    <row r="108" spans="1:9" x14ac:dyDescent="0.35">
      <c r="A108">
        <v>1</v>
      </c>
      <c r="B108" s="1">
        <v>41127</v>
      </c>
      <c r="C108">
        <v>1697230.96</v>
      </c>
      <c r="D108">
        <v>0</v>
      </c>
      <c r="E108">
        <v>78.3</v>
      </c>
      <c r="F108">
        <v>3.452</v>
      </c>
      <c r="G108">
        <v>221.7494839</v>
      </c>
      <c r="H108">
        <v>7.1429999999999998</v>
      </c>
      <c r="I108" t="str">
        <f>IF(Cleaned_Data[[#This Row],[Holiday_Flag]]=1,"Holiday","Non-Holiday")</f>
        <v>Non-Holiday</v>
      </c>
    </row>
    <row r="109" spans="1:9" x14ac:dyDescent="0.35">
      <c r="A109">
        <v>1</v>
      </c>
      <c r="B109" s="1">
        <v>41075</v>
      </c>
      <c r="C109">
        <v>1630607</v>
      </c>
      <c r="D109">
        <v>0</v>
      </c>
      <c r="E109">
        <v>79.349999999999994</v>
      </c>
      <c r="F109">
        <v>3.3929999999999998</v>
      </c>
      <c r="G109">
        <v>221.76264209999999</v>
      </c>
      <c r="H109">
        <v>7.1429999999999998</v>
      </c>
      <c r="I109" t="str">
        <f>IF(Cleaned_Data[[#This Row],[Holiday_Flag]]=1,"Holiday","Non-Holiday")</f>
        <v>Non-Holiday</v>
      </c>
    </row>
    <row r="110" spans="1:9" x14ac:dyDescent="0.35">
      <c r="A110">
        <v>1</v>
      </c>
      <c r="B110" s="1">
        <v>41082</v>
      </c>
      <c r="C110">
        <v>1527845.81</v>
      </c>
      <c r="D110">
        <v>0</v>
      </c>
      <c r="E110">
        <v>78.39</v>
      </c>
      <c r="F110">
        <v>3.3460000000000001</v>
      </c>
      <c r="G110">
        <v>221.8030211</v>
      </c>
      <c r="H110">
        <v>7.1429999999999998</v>
      </c>
      <c r="I110" t="str">
        <f>IF(Cleaned_Data[[#This Row],[Holiday_Flag]]=1,"Holiday","Non-Holiday")</f>
        <v>Non-Holiday</v>
      </c>
    </row>
    <row r="111" spans="1:9" x14ac:dyDescent="0.35">
      <c r="A111">
        <v>1</v>
      </c>
      <c r="B111" s="1">
        <v>41089</v>
      </c>
      <c r="C111">
        <v>1540421.49</v>
      </c>
      <c r="D111">
        <v>0</v>
      </c>
      <c r="E111">
        <v>84.88</v>
      </c>
      <c r="F111">
        <v>3.286</v>
      </c>
      <c r="G111">
        <v>221.8434</v>
      </c>
      <c r="H111">
        <v>7.1429999999999998</v>
      </c>
      <c r="I111" t="str">
        <f>IF(Cleaned_Data[[#This Row],[Holiday_Flag]]=1,"Holiday","Non-Holiday")</f>
        <v>Non-Holiday</v>
      </c>
    </row>
    <row r="112" spans="1:9" x14ac:dyDescent="0.35">
      <c r="A112">
        <v>1</v>
      </c>
      <c r="B112" s="1">
        <v>41067</v>
      </c>
      <c r="C112">
        <v>1769854.16</v>
      </c>
      <c r="D112">
        <v>0</v>
      </c>
      <c r="E112">
        <v>81.569999999999993</v>
      </c>
      <c r="F112">
        <v>3.2269999999999999</v>
      </c>
      <c r="G112">
        <v>221.88377890000001</v>
      </c>
      <c r="H112">
        <v>6.9080000000000004</v>
      </c>
      <c r="I112" t="str">
        <f>IF(Cleaned_Data[[#This Row],[Holiday_Flag]]=1,"Holiday","Non-Holiday")</f>
        <v>Non-Holiday</v>
      </c>
    </row>
    <row r="113" spans="1:9" x14ac:dyDescent="0.35">
      <c r="A113">
        <v>1</v>
      </c>
      <c r="B113" s="1">
        <v>41103</v>
      </c>
      <c r="C113">
        <v>1527014.04</v>
      </c>
      <c r="D113">
        <v>0</v>
      </c>
      <c r="E113">
        <v>77.12</v>
      </c>
      <c r="F113">
        <v>3.2559999999999998</v>
      </c>
      <c r="G113">
        <v>221.92415790000001</v>
      </c>
      <c r="H113">
        <v>6.9080000000000004</v>
      </c>
      <c r="I113" t="str">
        <f>IF(Cleaned_Data[[#This Row],[Holiday_Flag]]=1,"Holiday","Non-Holiday")</f>
        <v>Non-Holiday</v>
      </c>
    </row>
    <row r="114" spans="1:9" x14ac:dyDescent="0.35">
      <c r="A114">
        <v>1</v>
      </c>
      <c r="B114" s="1">
        <v>41110</v>
      </c>
      <c r="C114">
        <v>1497954.76</v>
      </c>
      <c r="D114">
        <v>0</v>
      </c>
      <c r="E114">
        <v>80.42</v>
      </c>
      <c r="F114">
        <v>3.3109999999999999</v>
      </c>
      <c r="G114">
        <v>221.93272669999999</v>
      </c>
      <c r="H114">
        <v>6.9080000000000004</v>
      </c>
      <c r="I114" t="str">
        <f>IF(Cleaned_Data[[#This Row],[Holiday_Flag]]=1,"Holiday","Non-Holiday")</f>
        <v>Non-Holiday</v>
      </c>
    </row>
    <row r="115" spans="1:9" x14ac:dyDescent="0.35">
      <c r="A115">
        <v>1</v>
      </c>
      <c r="B115" s="1">
        <v>41117</v>
      </c>
      <c r="C115">
        <v>1439123.71</v>
      </c>
      <c r="D115">
        <v>0</v>
      </c>
      <c r="E115">
        <v>82.66</v>
      </c>
      <c r="F115">
        <v>3.407</v>
      </c>
      <c r="G115">
        <v>221.9412954</v>
      </c>
      <c r="H115">
        <v>6.9080000000000004</v>
      </c>
      <c r="I115" t="str">
        <f>IF(Cleaned_Data[[#This Row],[Holiday_Flag]]=1,"Holiday","Non-Holiday")</f>
        <v>Non-Holiday</v>
      </c>
    </row>
    <row r="116" spans="1:9" x14ac:dyDescent="0.35">
      <c r="A116">
        <v>1</v>
      </c>
      <c r="B116" s="1">
        <v>40976</v>
      </c>
      <c r="C116">
        <v>1631135.79</v>
      </c>
      <c r="D116">
        <v>0</v>
      </c>
      <c r="E116">
        <v>86.11</v>
      </c>
      <c r="F116">
        <v>3.4169999999999998</v>
      </c>
      <c r="G116">
        <v>221.94986420000001</v>
      </c>
      <c r="H116">
        <v>6.9080000000000004</v>
      </c>
      <c r="I116" t="str">
        <f>IF(Cleaned_Data[[#This Row],[Holiday_Flag]]=1,"Holiday","Non-Holiday")</f>
        <v>Non-Holiday</v>
      </c>
    </row>
    <row r="117" spans="1:9" x14ac:dyDescent="0.35">
      <c r="A117">
        <v>1</v>
      </c>
      <c r="B117" s="1">
        <v>41190</v>
      </c>
      <c r="C117">
        <v>1592409.97</v>
      </c>
      <c r="D117">
        <v>0</v>
      </c>
      <c r="E117">
        <v>85.05</v>
      </c>
      <c r="F117">
        <v>3.4940000000000002</v>
      </c>
      <c r="G117">
        <v>221.95843289999999</v>
      </c>
      <c r="H117">
        <v>6.9080000000000004</v>
      </c>
      <c r="I117" t="str">
        <f>IF(Cleaned_Data[[#This Row],[Holiday_Flag]]=1,"Holiday","Non-Holiday")</f>
        <v>Non-Holiday</v>
      </c>
    </row>
    <row r="118" spans="1:9" x14ac:dyDescent="0.35">
      <c r="A118">
        <v>1</v>
      </c>
      <c r="B118" s="1">
        <v>41138</v>
      </c>
      <c r="C118">
        <v>1597868.05</v>
      </c>
      <c r="D118">
        <v>0</v>
      </c>
      <c r="E118">
        <v>84.85</v>
      </c>
      <c r="F118">
        <v>3.5710000000000002</v>
      </c>
      <c r="G118">
        <v>222.0384109</v>
      </c>
      <c r="H118">
        <v>6.9080000000000004</v>
      </c>
      <c r="I118" t="str">
        <f>IF(Cleaned_Data[[#This Row],[Holiday_Flag]]=1,"Holiday","Non-Holiday")</f>
        <v>Non-Holiday</v>
      </c>
    </row>
    <row r="119" spans="1:9" x14ac:dyDescent="0.35">
      <c r="A119">
        <v>1</v>
      </c>
      <c r="B119" s="1">
        <v>41145</v>
      </c>
      <c r="C119">
        <v>1494122.38</v>
      </c>
      <c r="D119">
        <v>0</v>
      </c>
      <c r="E119">
        <v>77.66</v>
      </c>
      <c r="F119">
        <v>3.62</v>
      </c>
      <c r="G119">
        <v>222.17194570000001</v>
      </c>
      <c r="H119">
        <v>6.9080000000000004</v>
      </c>
      <c r="I119" t="str">
        <f>IF(Cleaned_Data[[#This Row],[Holiday_Flag]]=1,"Holiday","Non-Holiday")</f>
        <v>Non-Holiday</v>
      </c>
    </row>
    <row r="120" spans="1:9" x14ac:dyDescent="0.35">
      <c r="A120">
        <v>1</v>
      </c>
      <c r="B120" s="1">
        <v>41152</v>
      </c>
      <c r="C120">
        <v>1582083.4</v>
      </c>
      <c r="D120">
        <v>0</v>
      </c>
      <c r="E120">
        <v>80.489999999999995</v>
      </c>
      <c r="F120">
        <v>3.6379999999999999</v>
      </c>
      <c r="G120">
        <v>222.30548049999999</v>
      </c>
      <c r="H120">
        <v>6.9080000000000004</v>
      </c>
      <c r="I120" t="str">
        <f>IF(Cleaned_Data[[#This Row],[Holiday_Flag]]=1,"Holiday","Non-Holiday")</f>
        <v>Non-Holiday</v>
      </c>
    </row>
    <row r="121" spans="1:9" x14ac:dyDescent="0.35">
      <c r="A121">
        <v>1</v>
      </c>
      <c r="B121" s="1">
        <v>41099</v>
      </c>
      <c r="C121">
        <v>1661767.33</v>
      </c>
      <c r="D121">
        <v>1</v>
      </c>
      <c r="E121">
        <v>83.96</v>
      </c>
      <c r="F121">
        <v>3.73</v>
      </c>
      <c r="G121">
        <v>222.43901529999999</v>
      </c>
      <c r="H121">
        <v>6.9080000000000004</v>
      </c>
      <c r="I121" t="str">
        <f>IF(Cleaned_Data[[#This Row],[Holiday_Flag]]=1,"Holiday","Non-Holiday")</f>
        <v>Holiday</v>
      </c>
    </row>
    <row r="122" spans="1:9" x14ac:dyDescent="0.35">
      <c r="A122">
        <v>1</v>
      </c>
      <c r="B122" s="1">
        <v>41166</v>
      </c>
      <c r="C122">
        <v>1517428.87</v>
      </c>
      <c r="D122">
        <v>0</v>
      </c>
      <c r="E122">
        <v>74.97</v>
      </c>
      <c r="F122">
        <v>3.7170000000000001</v>
      </c>
      <c r="G122">
        <v>222.58201930000001</v>
      </c>
      <c r="H122">
        <v>6.9080000000000004</v>
      </c>
      <c r="I122" t="str">
        <f>IF(Cleaned_Data[[#This Row],[Holiday_Flag]]=1,"Holiday","Non-Holiday")</f>
        <v>Non-Holiday</v>
      </c>
    </row>
    <row r="123" spans="1:9" x14ac:dyDescent="0.35">
      <c r="A123">
        <v>1</v>
      </c>
      <c r="B123" s="1">
        <v>41173</v>
      </c>
      <c r="C123">
        <v>1506126.06</v>
      </c>
      <c r="D123">
        <v>0</v>
      </c>
      <c r="E123">
        <v>69.87</v>
      </c>
      <c r="F123">
        <v>3.7210000000000001</v>
      </c>
      <c r="G123">
        <v>222.78183859999999</v>
      </c>
      <c r="H123">
        <v>6.9080000000000004</v>
      </c>
      <c r="I123" t="str">
        <f>IF(Cleaned_Data[[#This Row],[Holiday_Flag]]=1,"Holiday","Non-Holiday")</f>
        <v>Non-Holiday</v>
      </c>
    </row>
    <row r="124" spans="1:9" x14ac:dyDescent="0.35">
      <c r="A124">
        <v>1</v>
      </c>
      <c r="B124" s="1">
        <v>41180</v>
      </c>
      <c r="C124">
        <v>1437059.26</v>
      </c>
      <c r="D124">
        <v>0</v>
      </c>
      <c r="E124">
        <v>76.08</v>
      </c>
      <c r="F124">
        <v>3.6659999999999999</v>
      </c>
      <c r="G124">
        <v>222.98165789999999</v>
      </c>
      <c r="H124">
        <v>6.9080000000000004</v>
      </c>
      <c r="I124" t="str">
        <f>IF(Cleaned_Data[[#This Row],[Holiday_Flag]]=1,"Holiday","Non-Holiday")</f>
        <v>Non-Holiday</v>
      </c>
    </row>
    <row r="125" spans="1:9" x14ac:dyDescent="0.35">
      <c r="A125">
        <v>1</v>
      </c>
      <c r="B125" s="1">
        <v>41039</v>
      </c>
      <c r="C125">
        <v>1670785.97</v>
      </c>
      <c r="D125">
        <v>0</v>
      </c>
      <c r="E125">
        <v>68.55</v>
      </c>
      <c r="F125">
        <v>3.617</v>
      </c>
      <c r="G125">
        <v>223.18147719999999</v>
      </c>
      <c r="H125">
        <v>6.5730000000000004</v>
      </c>
      <c r="I125" t="str">
        <f>IF(Cleaned_Data[[#This Row],[Holiday_Flag]]=1,"Holiday","Non-Holiday")</f>
        <v>Non-Holiday</v>
      </c>
    </row>
    <row r="126" spans="1:9" x14ac:dyDescent="0.35">
      <c r="A126">
        <v>1</v>
      </c>
      <c r="B126" s="1">
        <v>41253</v>
      </c>
      <c r="C126">
        <v>1573072.81</v>
      </c>
      <c r="D126">
        <v>0</v>
      </c>
      <c r="E126">
        <v>62.99</v>
      </c>
      <c r="F126">
        <v>3.601</v>
      </c>
      <c r="G126">
        <v>223.38129649999999</v>
      </c>
      <c r="H126">
        <v>6.5730000000000004</v>
      </c>
      <c r="I126" t="str">
        <f>IF(Cleaned_Data[[#This Row],[Holiday_Flag]]=1,"Holiday","Non-Holiday")</f>
        <v>Non-Holiday</v>
      </c>
    </row>
    <row r="127" spans="1:9" x14ac:dyDescent="0.35">
      <c r="A127">
        <v>1</v>
      </c>
      <c r="B127" s="1">
        <v>41201</v>
      </c>
      <c r="C127">
        <v>1508068.77</v>
      </c>
      <c r="D127">
        <v>0</v>
      </c>
      <c r="E127">
        <v>67.97</v>
      </c>
      <c r="F127">
        <v>3.5939999999999999</v>
      </c>
      <c r="G127">
        <v>223.42572329999999</v>
      </c>
      <c r="H127">
        <v>6.5730000000000004</v>
      </c>
      <c r="I127" t="str">
        <f>IF(Cleaned_Data[[#This Row],[Holiday_Flag]]=1,"Holiday","Non-Holiday")</f>
        <v>Non-Holiday</v>
      </c>
    </row>
    <row r="128" spans="1:9" x14ac:dyDescent="0.35">
      <c r="A128">
        <v>1</v>
      </c>
      <c r="B128" s="1">
        <v>41208</v>
      </c>
      <c r="C128">
        <v>1493659.74</v>
      </c>
      <c r="D128">
        <v>0</v>
      </c>
      <c r="E128">
        <v>69.16</v>
      </c>
      <c r="F128">
        <v>3.5059999999999998</v>
      </c>
      <c r="G128">
        <v>223.44425129999999</v>
      </c>
      <c r="H128">
        <v>6.5730000000000004</v>
      </c>
      <c r="I128" t="str">
        <f>IF(Cleaned_Data[[#This Row],[Holiday_Flag]]=1,"Holiday","Non-Holiday")</f>
        <v>Non-Holiday</v>
      </c>
    </row>
    <row r="129" spans="1:9" x14ac:dyDescent="0.35">
      <c r="A129">
        <v>2</v>
      </c>
      <c r="B129" s="1">
        <v>40300</v>
      </c>
      <c r="C129">
        <v>2136989.46</v>
      </c>
      <c r="D129">
        <v>0</v>
      </c>
      <c r="E129">
        <v>40.19</v>
      </c>
      <c r="F129">
        <v>2.5720000000000001</v>
      </c>
      <c r="G129">
        <v>210.7526053</v>
      </c>
      <c r="H129">
        <v>8.3239999999999998</v>
      </c>
      <c r="I129" t="str">
        <f>IF(Cleaned_Data[[#This Row],[Holiday_Flag]]=1,"Holiday","Non-Holiday")</f>
        <v>Non-Holiday</v>
      </c>
    </row>
    <row r="130" spans="1:9" x14ac:dyDescent="0.35">
      <c r="A130">
        <v>2</v>
      </c>
      <c r="B130" s="1">
        <v>40514</v>
      </c>
      <c r="C130">
        <v>2137809.5</v>
      </c>
      <c r="D130">
        <v>1</v>
      </c>
      <c r="E130">
        <v>38.49</v>
      </c>
      <c r="F130">
        <v>2.548</v>
      </c>
      <c r="G130">
        <v>210.89799350000001</v>
      </c>
      <c r="H130">
        <v>8.3239999999999998</v>
      </c>
      <c r="I130" t="str">
        <f>IF(Cleaned_Data[[#This Row],[Holiday_Flag]]=1,"Holiday","Non-Holiday")</f>
        <v>Holiday</v>
      </c>
    </row>
    <row r="131" spans="1:9" x14ac:dyDescent="0.35">
      <c r="A131">
        <v>2</v>
      </c>
      <c r="B131" s="1">
        <v>40228</v>
      </c>
      <c r="C131">
        <v>2124451.54</v>
      </c>
      <c r="D131">
        <v>0</v>
      </c>
      <c r="E131">
        <v>39.69</v>
      </c>
      <c r="F131">
        <v>2.5139999999999998</v>
      </c>
      <c r="G131">
        <v>210.94516049999999</v>
      </c>
      <c r="H131">
        <v>8.3239999999999998</v>
      </c>
      <c r="I131" t="str">
        <f>IF(Cleaned_Data[[#This Row],[Holiday_Flag]]=1,"Holiday","Non-Holiday")</f>
        <v>Non-Holiday</v>
      </c>
    </row>
    <row r="132" spans="1:9" x14ac:dyDescent="0.35">
      <c r="A132">
        <v>2</v>
      </c>
      <c r="B132" s="1">
        <v>40235</v>
      </c>
      <c r="C132">
        <v>1865097.27</v>
      </c>
      <c r="D132">
        <v>0</v>
      </c>
      <c r="E132">
        <v>46.1</v>
      </c>
      <c r="F132">
        <v>2.5609999999999999</v>
      </c>
      <c r="G132">
        <v>210.9759573</v>
      </c>
      <c r="H132">
        <v>8.3239999999999998</v>
      </c>
      <c r="I132" t="str">
        <f>IF(Cleaned_Data[[#This Row],[Holiday_Flag]]=1,"Holiday","Non-Holiday")</f>
        <v>Non-Holiday</v>
      </c>
    </row>
    <row r="133" spans="1:9" x14ac:dyDescent="0.35">
      <c r="A133">
        <v>2</v>
      </c>
      <c r="B133" s="1">
        <v>40301</v>
      </c>
      <c r="C133">
        <v>1991013.13</v>
      </c>
      <c r="D133">
        <v>0</v>
      </c>
      <c r="E133">
        <v>47.17</v>
      </c>
      <c r="F133">
        <v>2.625</v>
      </c>
      <c r="G133">
        <v>211.00675419999999</v>
      </c>
      <c r="H133">
        <v>8.3239999999999998</v>
      </c>
      <c r="I133" t="str">
        <f>IF(Cleaned_Data[[#This Row],[Holiday_Flag]]=1,"Holiday","Non-Holiday")</f>
        <v>Non-Holiday</v>
      </c>
    </row>
    <row r="134" spans="1:9" x14ac:dyDescent="0.35">
      <c r="A134">
        <v>2</v>
      </c>
      <c r="B134" s="1">
        <v>40515</v>
      </c>
      <c r="C134">
        <v>1990483.78</v>
      </c>
      <c r="D134">
        <v>0</v>
      </c>
      <c r="E134">
        <v>57.56</v>
      </c>
      <c r="F134">
        <v>2.6669999999999998</v>
      </c>
      <c r="G134">
        <v>211.03755100000001</v>
      </c>
      <c r="H134">
        <v>8.3239999999999998</v>
      </c>
      <c r="I134" t="str">
        <f>IF(Cleaned_Data[[#This Row],[Holiday_Flag]]=1,"Holiday","Non-Holiday")</f>
        <v>Non-Holiday</v>
      </c>
    </row>
    <row r="135" spans="1:9" x14ac:dyDescent="0.35">
      <c r="A135">
        <v>2</v>
      </c>
      <c r="B135" s="1">
        <v>40256</v>
      </c>
      <c r="C135">
        <v>1946070.88</v>
      </c>
      <c r="D135">
        <v>0</v>
      </c>
      <c r="E135">
        <v>54.52</v>
      </c>
      <c r="F135">
        <v>2.72</v>
      </c>
      <c r="G135">
        <v>210.8733316</v>
      </c>
      <c r="H135">
        <v>8.3239999999999998</v>
      </c>
      <c r="I135" t="str">
        <f>IF(Cleaned_Data[[#This Row],[Holiday_Flag]]=1,"Holiday","Non-Holiday")</f>
        <v>Non-Holiday</v>
      </c>
    </row>
    <row r="136" spans="1:9" x14ac:dyDescent="0.35">
      <c r="A136">
        <v>2</v>
      </c>
      <c r="B136" s="1">
        <v>40263</v>
      </c>
      <c r="C136">
        <v>1750197.81</v>
      </c>
      <c r="D136">
        <v>0</v>
      </c>
      <c r="E136">
        <v>51.26</v>
      </c>
      <c r="F136">
        <v>2.7320000000000002</v>
      </c>
      <c r="G136">
        <v>210.67660950000001</v>
      </c>
      <c r="H136">
        <v>8.3239999999999998</v>
      </c>
      <c r="I136" t="str">
        <f>IF(Cleaned_Data[[#This Row],[Holiday_Flag]]=1,"Holiday","Non-Holiday")</f>
        <v>Non-Holiday</v>
      </c>
    </row>
    <row r="137" spans="1:9" x14ac:dyDescent="0.35">
      <c r="A137">
        <v>2</v>
      </c>
      <c r="B137" s="1">
        <v>40425</v>
      </c>
      <c r="C137">
        <v>1954689.21</v>
      </c>
      <c r="D137">
        <v>0</v>
      </c>
      <c r="E137">
        <v>65.41</v>
      </c>
      <c r="F137">
        <v>2.77</v>
      </c>
      <c r="G137">
        <v>210.28316530000001</v>
      </c>
      <c r="H137">
        <v>8.1999999999999993</v>
      </c>
      <c r="I137" t="str">
        <f>IF(Cleaned_Data[[#This Row],[Holiday_Flag]]=1,"Holiday","Non-Holiday")</f>
        <v>Non-Holiday</v>
      </c>
    </row>
    <row r="138" spans="1:9" x14ac:dyDescent="0.35">
      <c r="A138">
        <v>2</v>
      </c>
      <c r="B138" s="1">
        <v>40291</v>
      </c>
      <c r="C138">
        <v>1821990.93</v>
      </c>
      <c r="D138">
        <v>0</v>
      </c>
      <c r="E138">
        <v>65.11</v>
      </c>
      <c r="F138">
        <v>2.7949999999999999</v>
      </c>
      <c r="G138">
        <v>210.10006480000001</v>
      </c>
      <c r="H138">
        <v>8.1999999999999993</v>
      </c>
      <c r="I138" t="str">
        <f>IF(Cleaned_Data[[#This Row],[Holiday_Flag]]=1,"Holiday","Non-Holiday")</f>
        <v>Non-Holiday</v>
      </c>
    </row>
    <row r="139" spans="1:9" x14ac:dyDescent="0.35">
      <c r="A139">
        <v>2</v>
      </c>
      <c r="B139" s="1">
        <v>40364</v>
      </c>
      <c r="C139">
        <v>30000</v>
      </c>
      <c r="D139">
        <v>0</v>
      </c>
      <c r="E139">
        <v>71.28</v>
      </c>
      <c r="F139">
        <v>2.835</v>
      </c>
      <c r="G139">
        <v>210.00110179999999</v>
      </c>
      <c r="H139">
        <v>8.1999999999999993</v>
      </c>
      <c r="I139" t="str">
        <f>IF(Cleaned_Data[[#This Row],[Holiday_Flag]]=1,"Holiday","Non-Holiday")</f>
        <v>Non-Holiday</v>
      </c>
    </row>
    <row r="140" spans="1:9" x14ac:dyDescent="0.35">
      <c r="A140">
        <v>2</v>
      </c>
      <c r="B140" s="1">
        <v>40274</v>
      </c>
      <c r="C140">
        <v>2102539.9300000002</v>
      </c>
      <c r="D140">
        <v>0</v>
      </c>
      <c r="E140">
        <v>81.81</v>
      </c>
      <c r="F140">
        <v>2.7050000000000001</v>
      </c>
      <c r="G140">
        <v>210.83361600000001</v>
      </c>
      <c r="H140">
        <v>8.1999999999999993</v>
      </c>
      <c r="I140" t="str">
        <f>IF(Cleaned_Data[[#This Row],[Holiday_Flag]]=1,"Holiday","Non-Holiday")</f>
        <v>Non-Holiday</v>
      </c>
    </row>
    <row r="141" spans="1:9" x14ac:dyDescent="0.35">
      <c r="A141">
        <v>2</v>
      </c>
      <c r="B141" s="1">
        <v>40488</v>
      </c>
      <c r="C141">
        <v>50000</v>
      </c>
      <c r="D141">
        <v>0</v>
      </c>
      <c r="E141">
        <v>83.4</v>
      </c>
      <c r="F141">
        <v>2.6680000000000001</v>
      </c>
      <c r="G141">
        <v>211.1120018</v>
      </c>
      <c r="H141">
        <v>8.1999999999999993</v>
      </c>
      <c r="I141" t="str">
        <f>IF(Cleaned_Data[[#This Row],[Holiday_Flag]]=1,"Holiday","Non-Holiday")</f>
        <v>Non-Holiday</v>
      </c>
    </row>
    <row r="142" spans="1:9" x14ac:dyDescent="0.35">
      <c r="A142">
        <v>2</v>
      </c>
      <c r="B142" s="1">
        <v>40347</v>
      </c>
      <c r="C142">
        <v>2001636.96</v>
      </c>
      <c r="D142">
        <v>0</v>
      </c>
      <c r="E142">
        <v>85.81</v>
      </c>
      <c r="F142">
        <v>2.637</v>
      </c>
      <c r="G142">
        <v>211.10965429999999</v>
      </c>
      <c r="H142">
        <v>8.1999999999999993</v>
      </c>
      <c r="I142" t="str">
        <f>IF(Cleaned_Data[[#This Row],[Holiday_Flag]]=1,"Holiday","Non-Holiday")</f>
        <v>Non-Holiday</v>
      </c>
    </row>
    <row r="143" spans="1:9" x14ac:dyDescent="0.35">
      <c r="A143">
        <v>2</v>
      </c>
      <c r="B143" s="1">
        <v>40354</v>
      </c>
      <c r="C143">
        <v>1939927.09</v>
      </c>
      <c r="D143">
        <v>0</v>
      </c>
      <c r="E143">
        <v>86.26</v>
      </c>
      <c r="F143">
        <v>2.653</v>
      </c>
      <c r="G143">
        <v>210.9950134</v>
      </c>
      <c r="H143">
        <v>8.1999999999999993</v>
      </c>
      <c r="I143" t="str">
        <f>IF(Cleaned_Data[[#This Row],[Holiday_Flag]]=1,"Holiday","Non-Holiday")</f>
        <v>Non-Holiday</v>
      </c>
    </row>
    <row r="144" spans="1:9" x14ac:dyDescent="0.35">
      <c r="A144">
        <v>2</v>
      </c>
      <c r="B144" s="1">
        <v>40428</v>
      </c>
      <c r="C144">
        <v>1880902.62</v>
      </c>
      <c r="D144">
        <v>0</v>
      </c>
      <c r="E144">
        <v>82.59</v>
      </c>
      <c r="F144">
        <v>2.6419999999999999</v>
      </c>
      <c r="G144">
        <v>210.7657317</v>
      </c>
      <c r="H144">
        <v>8.0990000000000002</v>
      </c>
      <c r="I144" t="str">
        <f>IF(Cleaned_Data[[#This Row],[Holiday_Flag]]=1,"Holiday","Non-Holiday")</f>
        <v>Non-Holiday</v>
      </c>
    </row>
    <row r="145" spans="1:9" x14ac:dyDescent="0.35">
      <c r="A145">
        <v>2</v>
      </c>
      <c r="B145" s="1">
        <v>40389</v>
      </c>
      <c r="C145">
        <v>18000</v>
      </c>
      <c r="D145">
        <v>0</v>
      </c>
      <c r="E145">
        <v>83.49</v>
      </c>
      <c r="F145">
        <v>2.64</v>
      </c>
      <c r="G145">
        <v>211.0264684</v>
      </c>
      <c r="H145">
        <v>8.0990000000000002</v>
      </c>
      <c r="I145" t="str">
        <f>IF(Cleaned_Data[[#This Row],[Holiday_Flag]]=1,"Holiday","Non-Holiday")</f>
        <v>Non-Holiday</v>
      </c>
    </row>
    <row r="146" spans="1:9" x14ac:dyDescent="0.35">
      <c r="A146">
        <v>2</v>
      </c>
      <c r="B146" s="1">
        <v>40337</v>
      </c>
      <c r="C146">
        <v>1991909.98</v>
      </c>
      <c r="D146">
        <v>0</v>
      </c>
      <c r="E146">
        <v>-89.53</v>
      </c>
      <c r="F146">
        <v>2.6269999999999998</v>
      </c>
      <c r="G146">
        <v>211.16080489999999</v>
      </c>
      <c r="H146">
        <v>8.0990000000000002</v>
      </c>
      <c r="I146" t="str">
        <f>IF(Cleaned_Data[[#This Row],[Holiday_Flag]]=1,"Holiday","Non-Holiday")</f>
        <v>Non-Holiday</v>
      </c>
    </row>
    <row r="147" spans="1:9" x14ac:dyDescent="0.35">
      <c r="A147">
        <v>2</v>
      </c>
      <c r="B147" s="1">
        <v>40410</v>
      </c>
      <c r="C147">
        <v>1964335.23</v>
      </c>
      <c r="D147">
        <v>0</v>
      </c>
      <c r="E147">
        <v>88.7</v>
      </c>
      <c r="F147">
        <v>2.6640000000000001</v>
      </c>
      <c r="G147">
        <v>211.25965859999999</v>
      </c>
      <c r="H147">
        <v>8.0990000000000002</v>
      </c>
      <c r="I147" t="str">
        <f>IF(Cleaned_Data[[#This Row],[Holiday_Flag]]=1,"Holiday","Non-Holiday")</f>
        <v>Non-Holiday</v>
      </c>
    </row>
    <row r="148" spans="1:9" x14ac:dyDescent="0.35">
      <c r="A148">
        <v>2</v>
      </c>
      <c r="B148" s="1">
        <v>40417</v>
      </c>
      <c r="C148">
        <v>1863840.49</v>
      </c>
      <c r="D148">
        <v>0</v>
      </c>
      <c r="E148">
        <v>87.12</v>
      </c>
      <c r="F148">
        <v>2.6190000000000002</v>
      </c>
      <c r="G148">
        <v>211.22417590000001</v>
      </c>
      <c r="H148">
        <v>8.0990000000000002</v>
      </c>
      <c r="I148" t="str">
        <f>IF(Cleaned_Data[[#This Row],[Holiday_Flag]]=1,"Holiday","Non-Holiday")</f>
        <v>Non-Holiday</v>
      </c>
    </row>
    <row r="149" spans="1:9" x14ac:dyDescent="0.35">
      <c r="A149">
        <v>2</v>
      </c>
      <c r="B149" s="1">
        <v>40246</v>
      </c>
      <c r="C149">
        <v>1904608.09</v>
      </c>
      <c r="D149">
        <v>0</v>
      </c>
      <c r="E149">
        <v>81.83</v>
      </c>
      <c r="F149">
        <v>2.577</v>
      </c>
      <c r="G149">
        <v>211.18869309999999</v>
      </c>
      <c r="H149">
        <v>8.0990000000000002</v>
      </c>
      <c r="I149" t="str">
        <f>IF(Cleaned_Data[[#This Row],[Holiday_Flag]]=1,"Holiday","Non-Holiday")</f>
        <v>Non-Holiday</v>
      </c>
    </row>
    <row r="150" spans="1:9" x14ac:dyDescent="0.35">
      <c r="A150">
        <v>2</v>
      </c>
      <c r="B150" s="1">
        <v>40438</v>
      </c>
      <c r="C150">
        <v>1793903.6</v>
      </c>
      <c r="D150">
        <v>0</v>
      </c>
      <c r="E150">
        <v>82.05</v>
      </c>
      <c r="F150">
        <v>2.5819999999999999</v>
      </c>
      <c r="G150">
        <v>211.18064150000001</v>
      </c>
      <c r="H150">
        <v>8.0990000000000002</v>
      </c>
      <c r="I150" t="str">
        <f>IF(Cleaned_Data[[#This Row],[Holiday_Flag]]=1,"Holiday","Non-Holiday")</f>
        <v>Non-Holiday</v>
      </c>
    </row>
    <row r="151" spans="1:9" x14ac:dyDescent="0.35">
      <c r="A151">
        <v>2</v>
      </c>
      <c r="B151" s="1">
        <v>40188</v>
      </c>
      <c r="C151">
        <v>1827440.43</v>
      </c>
      <c r="D151">
        <v>0</v>
      </c>
      <c r="E151">
        <v>69.239999999999995</v>
      </c>
      <c r="F151">
        <v>2.6030000000000002</v>
      </c>
      <c r="G151">
        <v>211.32987420000001</v>
      </c>
      <c r="H151">
        <v>8.1630000000000003</v>
      </c>
      <c r="I151" t="str">
        <f>IF(Cleaned_Data[[#This Row],[Holiday_Flag]]=1,"Holiday","Non-Holiday")</f>
        <v>Non-Holiday</v>
      </c>
    </row>
    <row r="152" spans="1:9" x14ac:dyDescent="0.35">
      <c r="A152">
        <v>2</v>
      </c>
      <c r="B152" s="1">
        <v>40400</v>
      </c>
      <c r="C152">
        <v>1849921.44</v>
      </c>
      <c r="D152">
        <v>0</v>
      </c>
      <c r="E152">
        <v>63.19</v>
      </c>
      <c r="F152">
        <v>2.633</v>
      </c>
      <c r="G152">
        <v>211.4044906</v>
      </c>
      <c r="H152">
        <v>8.1630000000000003</v>
      </c>
      <c r="I152" t="str">
        <f>IF(Cleaned_Data[[#This Row],[Holiday_Flag]]=1,"Holiday","Non-Holiday")</f>
        <v>Non-Holiday</v>
      </c>
    </row>
    <row r="153" spans="1:9" x14ac:dyDescent="0.35">
      <c r="A153">
        <v>2</v>
      </c>
      <c r="B153" s="1">
        <v>40466</v>
      </c>
      <c r="C153">
        <v>1794355.49</v>
      </c>
      <c r="D153">
        <v>0</v>
      </c>
      <c r="E153">
        <v>65.8</v>
      </c>
      <c r="F153">
        <v>2.72</v>
      </c>
      <c r="G153">
        <v>211.47132859999999</v>
      </c>
      <c r="H153">
        <v>8.1630000000000003</v>
      </c>
      <c r="I153" t="str">
        <f>IF(Cleaned_Data[[#This Row],[Holiday_Flag]]=1,"Holiday","Non-Holiday")</f>
        <v>Non-Holiday</v>
      </c>
    </row>
    <row r="154" spans="1:9" x14ac:dyDescent="0.35">
      <c r="A154">
        <v>2</v>
      </c>
      <c r="B154" s="1">
        <v>40473</v>
      </c>
      <c r="C154">
        <v>1737947.64</v>
      </c>
      <c r="D154">
        <v>0</v>
      </c>
      <c r="E154">
        <v>68.5</v>
      </c>
      <c r="F154">
        <v>2.7250000000000001</v>
      </c>
      <c r="G154">
        <v>211.51872080000001</v>
      </c>
      <c r="H154">
        <v>8.1630000000000003</v>
      </c>
      <c r="I154" t="str">
        <f>IF(Cleaned_Data[[#This Row],[Holiday_Flag]]=1,"Holiday","Non-Holiday")</f>
        <v>Non-Holiday</v>
      </c>
    </row>
    <row r="155" spans="1:9" x14ac:dyDescent="0.35">
      <c r="A155">
        <v>2</v>
      </c>
      <c r="B155" s="1">
        <v>40480</v>
      </c>
      <c r="C155">
        <v>1802755.11</v>
      </c>
      <c r="D155">
        <v>0</v>
      </c>
      <c r="E155">
        <v>66.239999999999995</v>
      </c>
      <c r="F155">
        <v>2.7160000000000002</v>
      </c>
      <c r="G155">
        <v>211.5661131</v>
      </c>
      <c r="H155">
        <v>8.1630000000000003</v>
      </c>
      <c r="I155" t="str">
        <f>IF(Cleaned_Data[[#This Row],[Holiday_Flag]]=1,"Holiday","Non-Holiday")</f>
        <v>Non-Holiday</v>
      </c>
    </row>
    <row r="156" spans="1:9" x14ac:dyDescent="0.35">
      <c r="A156">
        <v>2</v>
      </c>
      <c r="B156" s="1">
        <v>40501</v>
      </c>
      <c r="C156">
        <v>1956739.17</v>
      </c>
      <c r="D156">
        <v>0</v>
      </c>
      <c r="E156">
        <v>60</v>
      </c>
      <c r="F156">
        <v>2.7709999999999999</v>
      </c>
      <c r="G156">
        <v>211.54703040000001</v>
      </c>
      <c r="H156">
        <v>8.1630000000000003</v>
      </c>
      <c r="I156" t="str">
        <f>IF(Cleaned_Data[[#This Row],[Holiday_Flag]]=1,"Holiday","Non-Holiday")</f>
        <v>Non-Holiday</v>
      </c>
    </row>
    <row r="157" spans="1:9" x14ac:dyDescent="0.35">
      <c r="A157">
        <v>2</v>
      </c>
      <c r="B157" s="1">
        <v>40508</v>
      </c>
      <c r="C157">
        <v>2658725.29</v>
      </c>
      <c r="D157">
        <v>1</v>
      </c>
      <c r="E157">
        <v>62.98</v>
      </c>
      <c r="F157">
        <v>2.7349999999999999</v>
      </c>
      <c r="G157">
        <v>211.40628670000001</v>
      </c>
      <c r="H157">
        <v>8.1630000000000003</v>
      </c>
      <c r="I157" t="str">
        <f>IF(Cleaned_Data[[#This Row],[Holiday_Flag]]=1,"Holiday","Non-Holiday")</f>
        <v>Holiday</v>
      </c>
    </row>
    <row r="158" spans="1:9" x14ac:dyDescent="0.35">
      <c r="A158">
        <v>2</v>
      </c>
      <c r="B158" s="1">
        <v>40249</v>
      </c>
      <c r="C158">
        <v>2015781.27</v>
      </c>
      <c r="D158">
        <v>0</v>
      </c>
      <c r="E158">
        <v>49.33</v>
      </c>
      <c r="F158">
        <v>2.7080000000000002</v>
      </c>
      <c r="G158">
        <v>211.26554300000001</v>
      </c>
      <c r="H158">
        <v>8.1630000000000003</v>
      </c>
      <c r="I158" t="str">
        <f>IF(Cleaned_Data[[#This Row],[Holiday_Flag]]=1,"Holiday","Non-Holiday")</f>
        <v>Non-Holiday</v>
      </c>
    </row>
    <row r="159" spans="1:9" x14ac:dyDescent="0.35">
      <c r="A159">
        <v>2</v>
      </c>
      <c r="B159" s="1">
        <v>40463</v>
      </c>
      <c r="C159">
        <v>2378726.5499999998</v>
      </c>
      <c r="D159">
        <v>0</v>
      </c>
      <c r="E159">
        <v>45.5</v>
      </c>
      <c r="F159">
        <v>2.843</v>
      </c>
      <c r="G159">
        <v>211.12479930000001</v>
      </c>
      <c r="H159">
        <v>8.1630000000000003</v>
      </c>
      <c r="I159" t="str">
        <f>IF(Cleaned_Data[[#This Row],[Holiday_Flag]]=1,"Holiday","Non-Holiday")</f>
        <v>Non-Holiday</v>
      </c>
    </row>
    <row r="160" spans="1:9" x14ac:dyDescent="0.35">
      <c r="A160">
        <v>2</v>
      </c>
      <c r="B160" s="1">
        <v>40529</v>
      </c>
      <c r="C160">
        <v>2609166.75</v>
      </c>
      <c r="D160">
        <v>0</v>
      </c>
      <c r="E160">
        <v>47.55</v>
      </c>
      <c r="F160">
        <v>2.8690000000000002</v>
      </c>
      <c r="G160">
        <v>211.06454579999999</v>
      </c>
      <c r="H160">
        <v>8.1630000000000003</v>
      </c>
      <c r="I160" t="str">
        <f>IF(Cleaned_Data[[#This Row],[Holiday_Flag]]=1,"Holiday","Non-Holiday")</f>
        <v>Non-Holiday</v>
      </c>
    </row>
    <row r="161" spans="1:9" x14ac:dyDescent="0.35">
      <c r="A161">
        <v>2</v>
      </c>
      <c r="B161" s="1">
        <v>40536</v>
      </c>
      <c r="C161">
        <v>3436007.68</v>
      </c>
      <c r="D161">
        <v>0</v>
      </c>
      <c r="E161">
        <v>49.97</v>
      </c>
      <c r="F161">
        <v>2.8860000000000001</v>
      </c>
      <c r="G161">
        <v>211.06465990000001</v>
      </c>
      <c r="H161">
        <v>8.1630000000000003</v>
      </c>
      <c r="I161" t="str">
        <f>IF(Cleaned_Data[[#This Row],[Holiday_Flag]]=1,"Holiday","Non-Holiday")</f>
        <v>Non-Holiday</v>
      </c>
    </row>
    <row r="162" spans="1:9" x14ac:dyDescent="0.35">
      <c r="A162">
        <v>2</v>
      </c>
      <c r="B162" s="1">
        <v>40725</v>
      </c>
      <c r="C162">
        <v>1758050.79</v>
      </c>
      <c r="D162">
        <v>0</v>
      </c>
      <c r="E162">
        <v>44.69</v>
      </c>
      <c r="F162">
        <v>2.976</v>
      </c>
      <c r="G162">
        <v>211.06488809999999</v>
      </c>
      <c r="H162">
        <v>8.0280000000000005</v>
      </c>
      <c r="I162" t="str">
        <f>IF(Cleaned_Data[[#This Row],[Holiday_Flag]]=1,"Holiday","Non-Holiday")</f>
        <v>Non-Holiday</v>
      </c>
    </row>
    <row r="163" spans="1:9" x14ac:dyDescent="0.35">
      <c r="A163">
        <v>2</v>
      </c>
      <c r="B163" s="1">
        <v>40557</v>
      </c>
      <c r="C163">
        <v>1744193.58</v>
      </c>
      <c r="D163">
        <v>0</v>
      </c>
      <c r="E163">
        <v>30</v>
      </c>
      <c r="F163">
        <v>2.9830000000000001</v>
      </c>
      <c r="G163">
        <v>211.11767130000001</v>
      </c>
      <c r="H163">
        <v>8.0280000000000005</v>
      </c>
      <c r="I163" t="str">
        <f>IF(Cleaned_Data[[#This Row],[Holiday_Flag]]=1,"Holiday","Non-Holiday")</f>
        <v>Non-Holiday</v>
      </c>
    </row>
    <row r="164" spans="1:9" x14ac:dyDescent="0.35">
      <c r="A164">
        <v>2</v>
      </c>
      <c r="B164" s="1">
        <v>40571</v>
      </c>
      <c r="C164">
        <v>1695371.68</v>
      </c>
      <c r="D164">
        <v>0</v>
      </c>
      <c r="E164">
        <v>42.83</v>
      </c>
      <c r="F164">
        <v>3.01</v>
      </c>
      <c r="G164">
        <v>211.85526680000001</v>
      </c>
      <c r="H164">
        <v>8.0280000000000005</v>
      </c>
      <c r="I164" t="str">
        <f>IF(Cleaned_Data[[#This Row],[Holiday_Flag]]=1,"Holiday","Non-Holiday")</f>
        <v>Non-Holiday</v>
      </c>
    </row>
    <row r="165" spans="1:9" x14ac:dyDescent="0.35">
      <c r="A165">
        <v>2</v>
      </c>
      <c r="B165" s="1">
        <v>40635</v>
      </c>
      <c r="C165">
        <v>1929346.23</v>
      </c>
      <c r="D165">
        <v>0</v>
      </c>
      <c r="E165">
        <v>38.25</v>
      </c>
      <c r="F165">
        <v>2.9889999999999999</v>
      </c>
      <c r="G165">
        <v>212.22406459999999</v>
      </c>
      <c r="H165">
        <v>8.0280000000000005</v>
      </c>
      <c r="I165" t="str">
        <f>IF(Cleaned_Data[[#This Row],[Holiday_Flag]]=1,"Holiday","Non-Holiday")</f>
        <v>Non-Holiday</v>
      </c>
    </row>
    <row r="166" spans="1:9" x14ac:dyDescent="0.35">
      <c r="A166">
        <v>2</v>
      </c>
      <c r="B166" s="1">
        <v>40849</v>
      </c>
      <c r="C166">
        <v>2168041.61</v>
      </c>
      <c r="D166">
        <v>1</v>
      </c>
      <c r="E166">
        <v>33.19</v>
      </c>
      <c r="F166">
        <v>3.0219999999999998</v>
      </c>
      <c r="G166">
        <v>212.5928624</v>
      </c>
      <c r="H166">
        <v>8.0280000000000005</v>
      </c>
      <c r="I166" t="str">
        <f>IF(Cleaned_Data[[#This Row],[Holiday_Flag]]=1,"Holiday","Non-Holiday")</f>
        <v>Holiday</v>
      </c>
    </row>
    <row r="167" spans="1:9" x14ac:dyDescent="0.35">
      <c r="A167">
        <v>2</v>
      </c>
      <c r="B167" s="1">
        <v>40592</v>
      </c>
      <c r="C167">
        <v>2080884.82</v>
      </c>
      <c r="D167">
        <v>0</v>
      </c>
      <c r="E167">
        <v>57.83</v>
      </c>
      <c r="F167">
        <v>3.0449999999999999</v>
      </c>
      <c r="G167">
        <v>212.9033115</v>
      </c>
      <c r="H167">
        <v>8.0280000000000005</v>
      </c>
      <c r="I167" t="str">
        <f>IF(Cleaned_Data[[#This Row],[Holiday_Flag]]=1,"Holiday","Non-Holiday")</f>
        <v>Non-Holiday</v>
      </c>
    </row>
    <row r="168" spans="1:9" x14ac:dyDescent="0.35">
      <c r="A168">
        <v>2</v>
      </c>
      <c r="B168" s="1">
        <v>40599</v>
      </c>
      <c r="C168">
        <v>1833511.08</v>
      </c>
      <c r="D168">
        <v>0</v>
      </c>
      <c r="E168">
        <v>60.8</v>
      </c>
      <c r="F168">
        <v>3.0649999999999999</v>
      </c>
      <c r="G168">
        <v>213.19042099999999</v>
      </c>
      <c r="H168">
        <v>8.0280000000000005</v>
      </c>
      <c r="I168" t="str">
        <f>IF(Cleaned_Data[[#This Row],[Holiday_Flag]]=1,"Holiday","Non-Holiday")</f>
        <v>Non-Holiday</v>
      </c>
    </row>
    <row r="169" spans="1:9" x14ac:dyDescent="0.35">
      <c r="A169">
        <v>2</v>
      </c>
      <c r="B169" s="1">
        <v>40636</v>
      </c>
      <c r="C169">
        <v>1981607.78</v>
      </c>
      <c r="D169">
        <v>0</v>
      </c>
      <c r="E169">
        <v>57.77</v>
      </c>
      <c r="F169">
        <v>3.2879999999999998</v>
      </c>
      <c r="G169">
        <v>213.4775305</v>
      </c>
      <c r="H169">
        <v>8.0280000000000005</v>
      </c>
      <c r="I169" t="str">
        <f>IF(Cleaned_Data[[#This Row],[Holiday_Flag]]=1,"Holiday","Non-Holiday")</f>
        <v>Non-Holiday</v>
      </c>
    </row>
    <row r="170" spans="1:9" x14ac:dyDescent="0.35">
      <c r="A170">
        <v>2</v>
      </c>
      <c r="B170" s="1">
        <v>40850</v>
      </c>
      <c r="C170">
        <v>1879107.31</v>
      </c>
      <c r="D170">
        <v>0</v>
      </c>
      <c r="E170">
        <v>52.7</v>
      </c>
      <c r="F170">
        <v>3.4590000000000001</v>
      </c>
      <c r="G170">
        <v>213.76464010000001</v>
      </c>
      <c r="H170">
        <v>8.0280000000000005</v>
      </c>
      <c r="I170" t="str">
        <f>IF(Cleaned_Data[[#This Row],[Holiday_Flag]]=1,"Holiday","Non-Holiday")</f>
        <v>Non-Holiday</v>
      </c>
    </row>
    <row r="171" spans="1:9" x14ac:dyDescent="0.35">
      <c r="A171">
        <v>2</v>
      </c>
      <c r="B171" s="1">
        <v>40620</v>
      </c>
      <c r="C171">
        <v>1902557.66</v>
      </c>
      <c r="D171">
        <v>0</v>
      </c>
      <c r="E171">
        <v>62.32</v>
      </c>
      <c r="F171">
        <v>3.488</v>
      </c>
      <c r="G171">
        <v>214.01562379999999</v>
      </c>
      <c r="H171">
        <v>8.0280000000000005</v>
      </c>
      <c r="I171" t="str">
        <f>IF(Cleaned_Data[[#This Row],[Holiday_Flag]]=1,"Holiday","Non-Holiday")</f>
        <v>Non-Holiday</v>
      </c>
    </row>
    <row r="172" spans="1:9" x14ac:dyDescent="0.35">
      <c r="A172">
        <v>2</v>
      </c>
      <c r="B172" s="1">
        <v>40627</v>
      </c>
      <c r="C172">
        <v>1766162.05</v>
      </c>
      <c r="D172">
        <v>0</v>
      </c>
      <c r="E172">
        <v>69.42</v>
      </c>
      <c r="F172">
        <v>3.4729999999999999</v>
      </c>
      <c r="G172">
        <v>214.25215729999999</v>
      </c>
      <c r="H172">
        <v>8.0280000000000005</v>
      </c>
      <c r="I172" t="str">
        <f>IF(Cleaned_Data[[#This Row],[Holiday_Flag]]=1,"Holiday","Non-Holiday")</f>
        <v>Non-Holiday</v>
      </c>
    </row>
    <row r="173" spans="1:9" x14ac:dyDescent="0.35">
      <c r="A173">
        <v>2</v>
      </c>
      <c r="B173" s="1">
        <v>40547</v>
      </c>
      <c r="C173">
        <v>1800171.36</v>
      </c>
      <c r="D173">
        <v>0</v>
      </c>
      <c r="E173">
        <v>55.43</v>
      </c>
      <c r="F173">
        <v>3.524</v>
      </c>
      <c r="G173">
        <v>214.4886908</v>
      </c>
      <c r="H173">
        <v>7.931</v>
      </c>
      <c r="I173" t="str">
        <f>IF(Cleaned_Data[[#This Row],[Holiday_Flag]]=1,"Holiday","Non-Holiday")</f>
        <v>Non-Holiday</v>
      </c>
    </row>
    <row r="174" spans="1:9" x14ac:dyDescent="0.35">
      <c r="A174">
        <v>2</v>
      </c>
      <c r="B174" s="1">
        <v>40759</v>
      </c>
      <c r="C174">
        <v>1847552.61</v>
      </c>
      <c r="D174">
        <v>0</v>
      </c>
      <c r="E174">
        <v>75</v>
      </c>
      <c r="F174">
        <v>3.6219999999999999</v>
      </c>
      <c r="G174">
        <v>214.72522420000001</v>
      </c>
      <c r="H174">
        <v>7.931</v>
      </c>
      <c r="I174" t="str">
        <f>IF(Cleaned_Data[[#This Row],[Holiday_Flag]]=1,"Holiday","Non-Holiday")</f>
        <v>Non-Holiday</v>
      </c>
    </row>
    <row r="175" spans="1:9" x14ac:dyDescent="0.35">
      <c r="A175">
        <v>2</v>
      </c>
      <c r="B175" s="1">
        <v>40648</v>
      </c>
      <c r="C175">
        <v>1856467.84</v>
      </c>
      <c r="D175">
        <v>0</v>
      </c>
      <c r="E175">
        <v>69.48</v>
      </c>
      <c r="F175">
        <v>3.7429999999999999</v>
      </c>
      <c r="G175">
        <v>214.94206310000001</v>
      </c>
      <c r="H175">
        <v>7.931</v>
      </c>
      <c r="I175" t="str">
        <f>IF(Cleaned_Data[[#This Row],[Holiday_Flag]]=1,"Holiday","Non-Holiday")</f>
        <v>Non-Holiday</v>
      </c>
    </row>
    <row r="176" spans="1:9" x14ac:dyDescent="0.35">
      <c r="A176">
        <v>2</v>
      </c>
      <c r="B176" s="1">
        <v>40655</v>
      </c>
      <c r="C176">
        <v>1886339.6</v>
      </c>
      <c r="D176">
        <v>0</v>
      </c>
      <c r="E176">
        <v>69.39</v>
      </c>
      <c r="F176">
        <v>3.8069999999999999</v>
      </c>
      <c r="G176">
        <v>215.10966569999999</v>
      </c>
      <c r="H176">
        <v>7.931</v>
      </c>
      <c r="I176" t="str">
        <f>IF(Cleaned_Data[[#This Row],[Holiday_Flag]]=1,"Holiday","Non-Holiday")</f>
        <v>Non-Holiday</v>
      </c>
    </row>
    <row r="177" spans="1:9" x14ac:dyDescent="0.35">
      <c r="A177">
        <v>2</v>
      </c>
      <c r="B177" s="1">
        <v>40662</v>
      </c>
      <c r="C177">
        <v>1745545.28</v>
      </c>
      <c r="D177">
        <v>0</v>
      </c>
      <c r="E177">
        <v>69.209999999999994</v>
      </c>
      <c r="F177">
        <v>3.81</v>
      </c>
      <c r="G177">
        <v>215.2772683</v>
      </c>
      <c r="H177">
        <v>7.931</v>
      </c>
      <c r="I177" t="str">
        <f>IF(Cleaned_Data[[#This Row],[Holiday_Flag]]=1,"Holiday","Non-Holiday")</f>
        <v>Non-Holiday</v>
      </c>
    </row>
    <row r="178" spans="1:9" x14ac:dyDescent="0.35">
      <c r="A178">
        <v>2</v>
      </c>
      <c r="B178" s="1">
        <v>40699</v>
      </c>
      <c r="C178">
        <v>1837743.6</v>
      </c>
      <c r="D178">
        <v>0</v>
      </c>
      <c r="E178">
        <v>61.48</v>
      </c>
      <c r="F178">
        <v>3.9060000000000001</v>
      </c>
      <c r="G178">
        <v>215.44487090000001</v>
      </c>
      <c r="H178">
        <v>7.931</v>
      </c>
      <c r="I178" t="str">
        <f>IF(Cleaned_Data[[#This Row],[Holiday_Flag]]=1,"Holiday","Non-Holiday")</f>
        <v>Non-Holiday</v>
      </c>
    </row>
    <row r="179" spans="1:9" x14ac:dyDescent="0.35">
      <c r="A179">
        <v>2</v>
      </c>
      <c r="B179" s="1">
        <v>40676</v>
      </c>
      <c r="C179">
        <v>1838513.07</v>
      </c>
      <c r="D179">
        <v>0</v>
      </c>
      <c r="E179">
        <v>75</v>
      </c>
      <c r="F179">
        <v>3.899</v>
      </c>
      <c r="G179">
        <v>215.61247349999999</v>
      </c>
      <c r="H179">
        <v>7.931</v>
      </c>
      <c r="I179" t="str">
        <f>IF(Cleaned_Data[[#This Row],[Holiday_Flag]]=1,"Holiday","Non-Holiday")</f>
        <v>Non-Holiday</v>
      </c>
    </row>
    <row r="180" spans="1:9" x14ac:dyDescent="0.35">
      <c r="A180">
        <v>2</v>
      </c>
      <c r="B180" s="1">
        <v>40683</v>
      </c>
      <c r="C180">
        <v>1688281.86</v>
      </c>
      <c r="D180">
        <v>0</v>
      </c>
      <c r="E180">
        <v>67.14</v>
      </c>
      <c r="F180">
        <v>3.907</v>
      </c>
      <c r="G180">
        <v>215.38347780000001</v>
      </c>
      <c r="H180">
        <v>7.931</v>
      </c>
      <c r="I180" t="str">
        <f>IF(Cleaned_Data[[#This Row],[Holiday_Flag]]=1,"Holiday","Non-Holiday")</f>
        <v>Non-Holiday</v>
      </c>
    </row>
    <row r="181" spans="1:9" x14ac:dyDescent="0.35">
      <c r="A181">
        <v>2</v>
      </c>
      <c r="B181" s="1">
        <v>40690</v>
      </c>
      <c r="C181">
        <v>1797732.56</v>
      </c>
      <c r="D181">
        <v>0</v>
      </c>
      <c r="E181">
        <v>76.42</v>
      </c>
      <c r="F181">
        <v>3.786</v>
      </c>
      <c r="G181">
        <v>215.15448219999999</v>
      </c>
      <c r="H181">
        <v>7.931</v>
      </c>
      <c r="I181" t="str">
        <f>IF(Cleaned_Data[[#This Row],[Holiday_Flag]]=1,"Holiday","Non-Holiday")</f>
        <v>Non-Holiday</v>
      </c>
    </row>
    <row r="182" spans="1:9" x14ac:dyDescent="0.35">
      <c r="A182">
        <v>2</v>
      </c>
      <c r="B182" s="1">
        <v>40608</v>
      </c>
      <c r="C182">
        <v>1933756.21</v>
      </c>
      <c r="D182">
        <v>0</v>
      </c>
      <c r="E182">
        <v>83.07</v>
      </c>
      <c r="F182">
        <v>3.6989999999999998</v>
      </c>
      <c r="G182">
        <v>214.92548650000001</v>
      </c>
      <c r="H182">
        <v>7.931</v>
      </c>
      <c r="I182" t="str">
        <f>IF(Cleaned_Data[[#This Row],[Holiday_Flag]]=1,"Holiday","Non-Holiday")</f>
        <v>Non-Holiday</v>
      </c>
    </row>
    <row r="183" spans="1:9" x14ac:dyDescent="0.35">
      <c r="A183">
        <v>2</v>
      </c>
      <c r="B183" s="1">
        <v>40822</v>
      </c>
      <c r="C183">
        <v>1929153.16</v>
      </c>
      <c r="D183">
        <v>0</v>
      </c>
      <c r="E183">
        <v>83.4</v>
      </c>
      <c r="F183">
        <v>3.6480000000000001</v>
      </c>
      <c r="G183">
        <v>214.69649079999999</v>
      </c>
      <c r="H183">
        <v>7.931</v>
      </c>
      <c r="I183" t="str">
        <f>IF(Cleaned_Data[[#This Row],[Holiday_Flag]]=1,"Holiday","Non-Holiday")</f>
        <v>Non-Holiday</v>
      </c>
    </row>
    <row r="184" spans="1:9" x14ac:dyDescent="0.35">
      <c r="A184">
        <v>2</v>
      </c>
      <c r="B184" s="1">
        <v>40711</v>
      </c>
      <c r="C184">
        <v>1953771.99</v>
      </c>
      <c r="D184">
        <v>0</v>
      </c>
      <c r="E184">
        <v>86.53</v>
      </c>
      <c r="F184">
        <v>3.637</v>
      </c>
      <c r="G184">
        <v>214.65135380000001</v>
      </c>
      <c r="H184">
        <v>7.931</v>
      </c>
      <c r="I184" t="str">
        <f>IF(Cleaned_Data[[#This Row],[Holiday_Flag]]=1,"Holiday","Non-Holiday")</f>
        <v>Non-Holiday</v>
      </c>
    </row>
    <row r="185" spans="1:9" x14ac:dyDescent="0.35">
      <c r="A185">
        <v>2</v>
      </c>
      <c r="B185" s="1">
        <v>40718</v>
      </c>
      <c r="C185">
        <v>1790925.8</v>
      </c>
      <c r="D185">
        <v>0</v>
      </c>
      <c r="E185">
        <v>85.17</v>
      </c>
      <c r="F185">
        <v>3.5939999999999999</v>
      </c>
      <c r="G185">
        <v>214.74411079999999</v>
      </c>
      <c r="H185">
        <v>7.931</v>
      </c>
      <c r="I185" t="str">
        <f>IF(Cleaned_Data[[#This Row],[Holiday_Flag]]=1,"Holiday","Non-Holiday")</f>
        <v>Non-Holiday</v>
      </c>
    </row>
    <row r="186" spans="1:9" x14ac:dyDescent="0.35">
      <c r="A186">
        <v>2</v>
      </c>
      <c r="B186" s="1">
        <v>40550</v>
      </c>
      <c r="C186">
        <v>1866243</v>
      </c>
      <c r="D186">
        <v>0</v>
      </c>
      <c r="E186">
        <v>85.69</v>
      </c>
      <c r="F186">
        <v>3.524</v>
      </c>
      <c r="G186">
        <v>214.83686779999999</v>
      </c>
      <c r="H186">
        <v>7.8520000000000003</v>
      </c>
      <c r="I186" t="str">
        <f>IF(Cleaned_Data[[#This Row],[Holiday_Flag]]=1,"Holiday","Non-Holiday")</f>
        <v>Non-Holiday</v>
      </c>
    </row>
    <row r="187" spans="1:9" x14ac:dyDescent="0.35">
      <c r="A187">
        <v>2</v>
      </c>
      <c r="B187" s="1">
        <v>40762</v>
      </c>
      <c r="C187">
        <v>1853161.99</v>
      </c>
      <c r="D187">
        <v>0</v>
      </c>
      <c r="E187">
        <v>87.7</v>
      </c>
      <c r="F187">
        <v>3.48</v>
      </c>
      <c r="G187">
        <v>214.92962489999999</v>
      </c>
      <c r="H187">
        <v>7.8520000000000003</v>
      </c>
      <c r="I187" t="str">
        <f>IF(Cleaned_Data[[#This Row],[Holiday_Flag]]=1,"Holiday","Non-Holiday")</f>
        <v>Non-Holiday</v>
      </c>
    </row>
    <row r="188" spans="1:9" x14ac:dyDescent="0.35">
      <c r="A188">
        <v>2</v>
      </c>
      <c r="B188" s="1">
        <v>40739</v>
      </c>
      <c r="C188">
        <v>1785187.29</v>
      </c>
      <c r="D188">
        <v>0</v>
      </c>
      <c r="E188">
        <v>89.83</v>
      </c>
      <c r="F188">
        <v>3.5750000000000002</v>
      </c>
      <c r="G188">
        <v>215.01344259999999</v>
      </c>
      <c r="H188">
        <v>7.8520000000000003</v>
      </c>
      <c r="I188" t="str">
        <f>IF(Cleaned_Data[[#This Row],[Holiday_Flag]]=1,"Holiday","Non-Holiday")</f>
        <v>Non-Holiday</v>
      </c>
    </row>
    <row r="189" spans="1:9" x14ac:dyDescent="0.35">
      <c r="A189">
        <v>2</v>
      </c>
      <c r="B189" s="1">
        <v>40746</v>
      </c>
      <c r="C189">
        <v>1743816.41</v>
      </c>
      <c r="D189">
        <v>0</v>
      </c>
      <c r="E189">
        <v>89.34</v>
      </c>
      <c r="F189">
        <v>3.6509999999999998</v>
      </c>
      <c r="G189">
        <v>215.0749122</v>
      </c>
      <c r="H189">
        <v>7.8520000000000003</v>
      </c>
      <c r="I189" t="str">
        <f>IF(Cleaned_Data[[#This Row],[Holiday_Flag]]=1,"Holiday","Non-Holiday")</f>
        <v>Non-Holiday</v>
      </c>
    </row>
    <row r="190" spans="1:9" x14ac:dyDescent="0.35">
      <c r="A190">
        <v>2</v>
      </c>
      <c r="B190" s="1">
        <v>40753</v>
      </c>
      <c r="C190">
        <v>1680693.06</v>
      </c>
      <c r="D190">
        <v>0</v>
      </c>
      <c r="E190">
        <v>90.07</v>
      </c>
      <c r="F190">
        <v>3.6819999999999999</v>
      </c>
      <c r="G190">
        <v>215.1363819</v>
      </c>
      <c r="H190">
        <v>7.8520000000000003</v>
      </c>
      <c r="I190" t="str">
        <f>IF(Cleaned_Data[[#This Row],[Holiday_Flag]]=1,"Holiday","Non-Holiday")</f>
        <v>Non-Holiday</v>
      </c>
    </row>
    <row r="191" spans="1:9" x14ac:dyDescent="0.35">
      <c r="A191">
        <v>2</v>
      </c>
      <c r="B191" s="1">
        <v>40671</v>
      </c>
      <c r="C191">
        <v>1876704.26</v>
      </c>
      <c r="D191">
        <v>0</v>
      </c>
      <c r="E191">
        <v>93.34</v>
      </c>
      <c r="F191">
        <v>3.6840000000000002</v>
      </c>
      <c r="G191">
        <v>215.19785150000001</v>
      </c>
      <c r="H191">
        <v>7.8520000000000003</v>
      </c>
      <c r="I191" t="str">
        <f>IF(Cleaned_Data[[#This Row],[Holiday_Flag]]=1,"Holiday","Non-Holiday")</f>
        <v>Non-Holiday</v>
      </c>
    </row>
    <row r="192" spans="1:9" x14ac:dyDescent="0.35">
      <c r="A192">
        <v>2</v>
      </c>
      <c r="B192" s="1">
        <v>40885</v>
      </c>
      <c r="C192">
        <v>1812768.26</v>
      </c>
      <c r="D192">
        <v>0</v>
      </c>
      <c r="E192">
        <v>91.58</v>
      </c>
      <c r="F192">
        <v>3.6379999999999999</v>
      </c>
      <c r="G192">
        <v>215.25932109999999</v>
      </c>
      <c r="H192">
        <v>7.8520000000000003</v>
      </c>
      <c r="I192" t="str">
        <f>IF(Cleaned_Data[[#This Row],[Holiday_Flag]]=1,"Holiday","Non-Holiday")</f>
        <v>Non-Holiday</v>
      </c>
    </row>
    <row r="193" spans="1:9" x14ac:dyDescent="0.35">
      <c r="A193">
        <v>2</v>
      </c>
      <c r="B193" s="1">
        <v>40774</v>
      </c>
      <c r="C193">
        <v>1844094.59</v>
      </c>
      <c r="D193">
        <v>0</v>
      </c>
      <c r="E193">
        <v>89.86</v>
      </c>
      <c r="F193">
        <v>3.5539999999999998</v>
      </c>
      <c r="G193">
        <v>215.3229307</v>
      </c>
      <c r="H193">
        <v>7.8520000000000003</v>
      </c>
      <c r="I193" t="str">
        <f>IF(Cleaned_Data[[#This Row],[Holiday_Flag]]=1,"Holiday","Non-Holiday")</f>
        <v>Non-Holiday</v>
      </c>
    </row>
    <row r="194" spans="1:9" x14ac:dyDescent="0.35">
      <c r="A194">
        <v>2</v>
      </c>
      <c r="B194" s="1">
        <v>40781</v>
      </c>
      <c r="C194">
        <v>1821139.91</v>
      </c>
      <c r="D194">
        <v>0</v>
      </c>
      <c r="E194">
        <v>90.45</v>
      </c>
      <c r="F194">
        <v>3.5230000000000001</v>
      </c>
      <c r="G194">
        <v>215.386897</v>
      </c>
      <c r="H194">
        <v>7.8520000000000003</v>
      </c>
      <c r="I194" t="str">
        <f>IF(Cleaned_Data[[#This Row],[Holiday_Flag]]=1,"Holiday","Non-Holiday")</f>
        <v>Non-Holiday</v>
      </c>
    </row>
    <row r="195" spans="1:9" x14ac:dyDescent="0.35">
      <c r="A195">
        <v>2</v>
      </c>
      <c r="B195" s="1">
        <v>40583</v>
      </c>
      <c r="C195">
        <v>1809119.7</v>
      </c>
      <c r="D195">
        <v>0</v>
      </c>
      <c r="E195">
        <v>89.64</v>
      </c>
      <c r="F195">
        <v>3.5329999999999999</v>
      </c>
      <c r="G195">
        <v>215.45086319999999</v>
      </c>
      <c r="H195">
        <v>7.8520000000000003</v>
      </c>
      <c r="I195" t="str">
        <f>IF(Cleaned_Data[[#This Row],[Holiday_Flag]]=1,"Holiday","Non-Holiday")</f>
        <v>Non-Holiday</v>
      </c>
    </row>
    <row r="196" spans="1:9" x14ac:dyDescent="0.35">
      <c r="A196">
        <v>2</v>
      </c>
      <c r="B196" s="1">
        <v>40795</v>
      </c>
      <c r="C196">
        <v>1748000.65</v>
      </c>
      <c r="D196">
        <v>1</v>
      </c>
      <c r="E196">
        <v>77.97</v>
      </c>
      <c r="F196">
        <v>3.5459999999999998</v>
      </c>
      <c r="G196">
        <v>215.51482949999999</v>
      </c>
      <c r="H196">
        <v>7.8520000000000003</v>
      </c>
      <c r="I196" t="str">
        <f>IF(Cleaned_Data[[#This Row],[Holiday_Flag]]=1,"Holiday","Non-Holiday")</f>
        <v>Holiday</v>
      </c>
    </row>
    <row r="197" spans="1:9" x14ac:dyDescent="0.35">
      <c r="A197">
        <v>2</v>
      </c>
      <c r="B197" s="1">
        <v>40802</v>
      </c>
      <c r="C197">
        <v>1691439.52</v>
      </c>
      <c r="D197">
        <v>0</v>
      </c>
      <c r="E197">
        <v>78.849999999999994</v>
      </c>
      <c r="F197">
        <v>3.5259999999999998</v>
      </c>
      <c r="G197">
        <v>215.6944378</v>
      </c>
      <c r="H197">
        <v>7.8520000000000003</v>
      </c>
      <c r="I197" t="str">
        <f>IF(Cleaned_Data[[#This Row],[Holiday_Flag]]=1,"Holiday","Non-Holiday")</f>
        <v>Non-Holiday</v>
      </c>
    </row>
    <row r="198" spans="1:9" x14ac:dyDescent="0.35">
      <c r="A198">
        <v>2</v>
      </c>
      <c r="B198" s="1">
        <v>40809</v>
      </c>
      <c r="C198">
        <v>1669299.78</v>
      </c>
      <c r="D198">
        <v>0</v>
      </c>
      <c r="E198">
        <v>75.58</v>
      </c>
      <c r="F198">
        <v>3.4670000000000001</v>
      </c>
      <c r="G198">
        <v>216.02823559999999</v>
      </c>
      <c r="H198">
        <v>7.8520000000000003</v>
      </c>
      <c r="I198" t="str">
        <f>IF(Cleaned_Data[[#This Row],[Holiday_Flag]]=1,"Holiday","Non-Holiday")</f>
        <v>Non-Holiday</v>
      </c>
    </row>
    <row r="199" spans="1:9" x14ac:dyDescent="0.35">
      <c r="A199">
        <v>2</v>
      </c>
      <c r="B199" s="1">
        <v>40816</v>
      </c>
      <c r="C199">
        <v>1650394.44</v>
      </c>
      <c r="D199">
        <v>0</v>
      </c>
      <c r="E199">
        <v>78.14</v>
      </c>
      <c r="F199">
        <v>3.355</v>
      </c>
      <c r="G199">
        <v>216.36203330000001</v>
      </c>
      <c r="H199">
        <v>7.8520000000000003</v>
      </c>
      <c r="I199" t="str">
        <f>IF(Cleaned_Data[[#This Row],[Holiday_Flag]]=1,"Holiday","Non-Holiday")</f>
        <v>Non-Holiday</v>
      </c>
    </row>
    <row r="200" spans="1:9" x14ac:dyDescent="0.35">
      <c r="A200">
        <v>2</v>
      </c>
      <c r="B200" s="1">
        <v>40734</v>
      </c>
      <c r="C200">
        <v>1837553.43</v>
      </c>
      <c r="D200">
        <v>0</v>
      </c>
      <c r="E200">
        <v>69.92</v>
      </c>
      <c r="F200">
        <v>3.2850000000000001</v>
      </c>
      <c r="G200">
        <v>216.69583109999999</v>
      </c>
      <c r="H200">
        <v>7.4409999999999998</v>
      </c>
      <c r="I200" t="str">
        <f>IF(Cleaned_Data[[#This Row],[Holiday_Flag]]=1,"Holiday","Non-Holiday")</f>
        <v>Non-Holiday</v>
      </c>
    </row>
    <row r="201" spans="1:9" x14ac:dyDescent="0.35">
      <c r="A201">
        <v>2</v>
      </c>
      <c r="B201" s="1">
        <v>40830</v>
      </c>
      <c r="C201">
        <v>1743882.19</v>
      </c>
      <c r="D201">
        <v>0</v>
      </c>
      <c r="E201">
        <v>71.67</v>
      </c>
      <c r="F201">
        <v>3.274</v>
      </c>
      <c r="G201">
        <v>217.0048261</v>
      </c>
      <c r="H201">
        <v>7.4409999999999998</v>
      </c>
      <c r="I201" t="str">
        <f>IF(Cleaned_Data[[#This Row],[Holiday_Flag]]=1,"Holiday","Non-Holiday")</f>
        <v>Non-Holiday</v>
      </c>
    </row>
    <row r="202" spans="1:9" x14ac:dyDescent="0.35">
      <c r="A202">
        <v>2</v>
      </c>
      <c r="B202" s="1">
        <v>40837</v>
      </c>
      <c r="C202">
        <v>1834680.25</v>
      </c>
      <c r="D202">
        <v>0</v>
      </c>
      <c r="E202">
        <v>64.53</v>
      </c>
      <c r="F202">
        <v>3.3530000000000002</v>
      </c>
      <c r="G202">
        <v>217.1650042</v>
      </c>
      <c r="H202">
        <v>7.4409999999999998</v>
      </c>
      <c r="I202" t="str">
        <f>IF(Cleaned_Data[[#This Row],[Holiday_Flag]]=1,"Holiday","Non-Holiday")</f>
        <v>Non-Holiday</v>
      </c>
    </row>
    <row r="203" spans="1:9" x14ac:dyDescent="0.35">
      <c r="A203">
        <v>2</v>
      </c>
      <c r="B203" s="1">
        <v>40844</v>
      </c>
      <c r="C203">
        <v>1769296.25</v>
      </c>
      <c r="D203">
        <v>0</v>
      </c>
      <c r="E203">
        <v>65.87</v>
      </c>
      <c r="F203">
        <v>3.3719999999999999</v>
      </c>
      <c r="G203">
        <v>217.32518239999999</v>
      </c>
      <c r="H203">
        <v>7.4409999999999998</v>
      </c>
      <c r="I203" t="str">
        <f>IF(Cleaned_Data[[#This Row],[Holiday_Flag]]=1,"Holiday","Non-Holiday")</f>
        <v>Non-Holiday</v>
      </c>
    </row>
    <row r="204" spans="1:9" x14ac:dyDescent="0.35">
      <c r="A204">
        <v>2</v>
      </c>
      <c r="B204" s="1">
        <v>40644</v>
      </c>
      <c r="C204">
        <v>1959707.9</v>
      </c>
      <c r="D204">
        <v>0</v>
      </c>
      <c r="E204">
        <v>55.53</v>
      </c>
      <c r="F204">
        <v>3.3319999999999999</v>
      </c>
      <c r="G204">
        <v>217.48536050000001</v>
      </c>
      <c r="H204">
        <v>7.4409999999999998</v>
      </c>
      <c r="I204" t="str">
        <f>IF(Cleaned_Data[[#This Row],[Holiday_Flag]]=1,"Holiday","Non-Holiday")</f>
        <v>Non-Holiday</v>
      </c>
    </row>
    <row r="205" spans="1:9" x14ac:dyDescent="0.35">
      <c r="A205">
        <v>2</v>
      </c>
      <c r="B205" s="1">
        <v>40858</v>
      </c>
      <c r="C205">
        <v>1920725.15</v>
      </c>
      <c r="D205">
        <v>0</v>
      </c>
      <c r="E205">
        <v>59.33</v>
      </c>
      <c r="F205">
        <v>3.2970000000000002</v>
      </c>
      <c r="G205">
        <v>217.6455387</v>
      </c>
      <c r="H205">
        <v>7.4409999999999998</v>
      </c>
      <c r="I205" t="str">
        <f>IF(Cleaned_Data[[#This Row],[Holiday_Flag]]=1,"Holiday","Non-Holiday")</f>
        <v>Non-Holiday</v>
      </c>
    </row>
    <row r="206" spans="1:9" x14ac:dyDescent="0.35">
      <c r="A206">
        <v>2</v>
      </c>
      <c r="B206" s="1">
        <v>40865</v>
      </c>
      <c r="C206">
        <v>1902762.5</v>
      </c>
      <c r="D206">
        <v>0</v>
      </c>
      <c r="E206">
        <v>62.01</v>
      </c>
      <c r="F206">
        <v>3.3079999999999998</v>
      </c>
      <c r="G206">
        <v>217.8670218</v>
      </c>
      <c r="H206">
        <v>7.4409999999999998</v>
      </c>
      <c r="I206" t="str">
        <f>IF(Cleaned_Data[[#This Row],[Holiday_Flag]]=1,"Holiday","Non-Holiday")</f>
        <v>Non-Holiday</v>
      </c>
    </row>
    <row r="207" spans="1:9" x14ac:dyDescent="0.35">
      <c r="A207">
        <v>2</v>
      </c>
      <c r="B207" s="1">
        <v>40872</v>
      </c>
      <c r="C207">
        <v>2614202.2999999998</v>
      </c>
      <c r="D207">
        <v>1</v>
      </c>
      <c r="E207">
        <v>56.36</v>
      </c>
      <c r="F207">
        <v>3.2360000000000002</v>
      </c>
      <c r="G207">
        <v>218.11302689999999</v>
      </c>
      <c r="H207">
        <v>7.4409999999999998</v>
      </c>
      <c r="I207" t="str">
        <f>IF(Cleaned_Data[[#This Row],[Holiday_Flag]]=1,"Holiday","Non-Holiday")</f>
        <v>Holiday</v>
      </c>
    </row>
    <row r="208" spans="1:9" x14ac:dyDescent="0.35">
      <c r="A208">
        <v>2</v>
      </c>
      <c r="B208" s="1">
        <v>40586</v>
      </c>
      <c r="C208">
        <v>1954952</v>
      </c>
      <c r="D208">
        <v>0</v>
      </c>
      <c r="E208">
        <v>48.74</v>
      </c>
      <c r="F208">
        <v>3.1720000000000002</v>
      </c>
      <c r="G208">
        <v>218.35903189999999</v>
      </c>
      <c r="H208">
        <v>7.4409999999999998</v>
      </c>
      <c r="I208" t="str">
        <f>IF(Cleaned_Data[[#This Row],[Holiday_Flag]]=1,"Holiday","Non-Holiday")</f>
        <v>Non-Holiday</v>
      </c>
    </row>
    <row r="209" spans="1:9" x14ac:dyDescent="0.35">
      <c r="A209">
        <v>2</v>
      </c>
      <c r="B209" s="1">
        <v>40798</v>
      </c>
      <c r="C209">
        <v>2290549.3199999998</v>
      </c>
      <c r="D209">
        <v>0</v>
      </c>
      <c r="E209">
        <v>30</v>
      </c>
      <c r="F209">
        <v>3.1579999999999999</v>
      </c>
      <c r="G209">
        <v>218.60503700000001</v>
      </c>
      <c r="H209">
        <v>7.4409999999999998</v>
      </c>
      <c r="I209" t="str">
        <f>IF(Cleaned_Data[[#This Row],[Holiday_Flag]]=1,"Holiday","Non-Holiday")</f>
        <v>Non-Holiday</v>
      </c>
    </row>
    <row r="210" spans="1:9" x14ac:dyDescent="0.35">
      <c r="A210">
        <v>2</v>
      </c>
      <c r="B210" s="1">
        <v>40893</v>
      </c>
      <c r="C210">
        <v>2432736.52</v>
      </c>
      <c r="D210">
        <v>0</v>
      </c>
      <c r="E210">
        <v>50.13</v>
      </c>
      <c r="F210">
        <v>3.1589999999999998</v>
      </c>
      <c r="G210">
        <v>218.8217928</v>
      </c>
      <c r="H210">
        <v>7.4409999999999998</v>
      </c>
      <c r="I210" t="str">
        <f>IF(Cleaned_Data[[#This Row],[Holiday_Flag]]=1,"Holiday","Non-Holiday")</f>
        <v>Non-Holiday</v>
      </c>
    </row>
    <row r="211" spans="1:9" x14ac:dyDescent="0.35">
      <c r="A211">
        <v>2</v>
      </c>
      <c r="B211" s="1">
        <v>40900</v>
      </c>
      <c r="C211">
        <v>3224369.8</v>
      </c>
      <c r="D211">
        <v>0</v>
      </c>
      <c r="E211">
        <v>46.66</v>
      </c>
      <c r="F211">
        <v>3.1120000000000001</v>
      </c>
      <c r="G211">
        <v>218.9995495</v>
      </c>
      <c r="H211">
        <v>7.4409999999999998</v>
      </c>
      <c r="I211" t="str">
        <f>IF(Cleaned_Data[[#This Row],[Holiday_Flag]]=1,"Holiday","Non-Holiday")</f>
        <v>Non-Holiday</v>
      </c>
    </row>
    <row r="212" spans="1:9" x14ac:dyDescent="0.35">
      <c r="A212">
        <v>2</v>
      </c>
      <c r="B212" s="1">
        <v>40907</v>
      </c>
      <c r="C212">
        <v>1874226.52</v>
      </c>
      <c r="D212">
        <v>1</v>
      </c>
      <c r="E212">
        <v>44.57</v>
      </c>
      <c r="F212">
        <v>3.129</v>
      </c>
      <c r="G212">
        <v>219.1773063</v>
      </c>
      <c r="H212">
        <v>7.4409999999999998</v>
      </c>
      <c r="I212" t="str">
        <f>IF(Cleaned_Data[[#This Row],[Holiday_Flag]]=1,"Holiday","Non-Holiday")</f>
        <v>Holiday</v>
      </c>
    </row>
    <row r="213" spans="1:9" x14ac:dyDescent="0.35">
      <c r="A213">
        <v>2</v>
      </c>
      <c r="B213" s="1">
        <v>41061</v>
      </c>
      <c r="C213">
        <v>1799520.14</v>
      </c>
      <c r="D213">
        <v>0</v>
      </c>
      <c r="E213">
        <v>46.75</v>
      </c>
      <c r="F213">
        <v>3.157</v>
      </c>
      <c r="G213">
        <v>219.355063</v>
      </c>
      <c r="H213">
        <v>7.0570000000000004</v>
      </c>
      <c r="I213" t="str">
        <f>IF(Cleaned_Data[[#This Row],[Holiday_Flag]]=1,"Holiday","Non-Holiday")</f>
        <v>Non-Holiday</v>
      </c>
    </row>
    <row r="214" spans="1:9" x14ac:dyDescent="0.35">
      <c r="A214">
        <v>2</v>
      </c>
      <c r="B214" s="1">
        <v>40921</v>
      </c>
      <c r="C214">
        <v>1744725.48</v>
      </c>
      <c r="D214">
        <v>0</v>
      </c>
      <c r="E214">
        <v>45.99</v>
      </c>
      <c r="F214">
        <v>3.2610000000000001</v>
      </c>
      <c r="G214">
        <v>219.5328198</v>
      </c>
      <c r="H214">
        <v>7.0570000000000004</v>
      </c>
      <c r="I214" t="str">
        <f>IF(Cleaned_Data[[#This Row],[Holiday_Flag]]=1,"Holiday","Non-Holiday")</f>
        <v>Non-Holiday</v>
      </c>
    </row>
    <row r="215" spans="1:9" x14ac:dyDescent="0.35">
      <c r="A215">
        <v>2</v>
      </c>
      <c r="B215" s="1">
        <v>40928</v>
      </c>
      <c r="C215">
        <v>1711769.11</v>
      </c>
      <c r="D215">
        <v>0</v>
      </c>
      <c r="E215">
        <v>51.7</v>
      </c>
      <c r="F215">
        <v>3.2679999999999998</v>
      </c>
      <c r="G215">
        <v>219.6258417</v>
      </c>
      <c r="H215">
        <v>7.0570000000000004</v>
      </c>
      <c r="I215" t="str">
        <f>IF(Cleaned_Data[[#This Row],[Holiday_Flag]]=1,"Holiday","Non-Holiday")</f>
        <v>Non-Holiday</v>
      </c>
    </row>
    <row r="216" spans="1:9" x14ac:dyDescent="0.35">
      <c r="A216">
        <v>2</v>
      </c>
      <c r="B216" s="1">
        <v>40935</v>
      </c>
      <c r="C216">
        <v>1660906.14</v>
      </c>
      <c r="D216">
        <v>0</v>
      </c>
      <c r="E216">
        <v>50.5</v>
      </c>
      <c r="F216">
        <v>3.29</v>
      </c>
      <c r="G216">
        <v>219.71886359999999</v>
      </c>
      <c r="H216">
        <v>7.0570000000000004</v>
      </c>
      <c r="I216" t="str">
        <f>IF(Cleaned_Data[[#This Row],[Holiday_Flag]]=1,"Holiday","Non-Holiday")</f>
        <v>Non-Holiday</v>
      </c>
    </row>
    <row r="217" spans="1:9" x14ac:dyDescent="0.35">
      <c r="A217">
        <v>2</v>
      </c>
      <c r="B217" s="1">
        <v>40970</v>
      </c>
      <c r="C217">
        <v>1935299.94</v>
      </c>
      <c r="D217">
        <v>0</v>
      </c>
      <c r="E217">
        <v>55.21</v>
      </c>
      <c r="F217">
        <v>3.36</v>
      </c>
      <c r="G217">
        <v>219.81188539999999</v>
      </c>
      <c r="H217">
        <v>7.0570000000000004</v>
      </c>
      <c r="I217" t="str">
        <f>IF(Cleaned_Data[[#This Row],[Holiday_Flag]]=1,"Holiday","Non-Holiday")</f>
        <v>Non-Holiday</v>
      </c>
    </row>
    <row r="218" spans="1:9" x14ac:dyDescent="0.35">
      <c r="A218">
        <v>2</v>
      </c>
      <c r="B218" s="1">
        <v>41184</v>
      </c>
      <c r="C218">
        <v>2103322.6800000002</v>
      </c>
      <c r="D218">
        <v>1</v>
      </c>
      <c r="E218">
        <v>46.98</v>
      </c>
      <c r="F218">
        <v>3.4089999999999998</v>
      </c>
      <c r="G218">
        <v>219.90490729999999</v>
      </c>
      <c r="H218">
        <v>7.0570000000000004</v>
      </c>
      <c r="I218" t="str">
        <f>IF(Cleaned_Data[[#This Row],[Holiday_Flag]]=1,"Holiday","Non-Holiday")</f>
        <v>Holiday</v>
      </c>
    </row>
    <row r="219" spans="1:9" x14ac:dyDescent="0.35">
      <c r="A219">
        <v>2</v>
      </c>
      <c r="B219" s="1">
        <v>40956</v>
      </c>
      <c r="C219">
        <v>2196688.46</v>
      </c>
      <c r="D219">
        <v>0</v>
      </c>
      <c r="E219">
        <v>43.82</v>
      </c>
      <c r="F219">
        <v>3.51</v>
      </c>
      <c r="G219">
        <v>220.06519929999999</v>
      </c>
      <c r="H219">
        <v>7.0570000000000004</v>
      </c>
      <c r="I219" t="str">
        <f>IF(Cleaned_Data[[#This Row],[Holiday_Flag]]=1,"Holiday","Non-Holiday")</f>
        <v>Non-Holiday</v>
      </c>
    </row>
    <row r="220" spans="1:9" x14ac:dyDescent="0.35">
      <c r="A220">
        <v>2</v>
      </c>
      <c r="B220" s="1">
        <v>40963</v>
      </c>
      <c r="C220">
        <v>1861802.7</v>
      </c>
      <c r="D220">
        <v>0</v>
      </c>
      <c r="E220">
        <v>54.63</v>
      </c>
      <c r="F220">
        <v>3.5550000000000002</v>
      </c>
      <c r="G220">
        <v>220.27594400000001</v>
      </c>
      <c r="H220">
        <v>7.0570000000000004</v>
      </c>
      <c r="I220" t="str">
        <f>IF(Cleaned_Data[[#This Row],[Holiday_Flag]]=1,"Holiday","Non-Holiday")</f>
        <v>Non-Holiday</v>
      </c>
    </row>
    <row r="221" spans="1:9" x14ac:dyDescent="0.35">
      <c r="A221">
        <v>2</v>
      </c>
      <c r="B221" s="1">
        <v>40942</v>
      </c>
      <c r="C221">
        <v>1952555.66</v>
      </c>
      <c r="D221">
        <v>0</v>
      </c>
      <c r="E221">
        <v>58.79</v>
      </c>
      <c r="F221">
        <v>3.63</v>
      </c>
      <c r="G221">
        <v>220.48668860000001</v>
      </c>
      <c r="H221">
        <v>7.0570000000000004</v>
      </c>
      <c r="I221" t="str">
        <f>IF(Cleaned_Data[[#This Row],[Holiday_Flag]]=1,"Holiday","Non-Holiday")</f>
        <v>Non-Holiday</v>
      </c>
    </row>
    <row r="222" spans="1:9" x14ac:dyDescent="0.35">
      <c r="A222">
        <v>2</v>
      </c>
      <c r="B222" s="1">
        <v>41155</v>
      </c>
      <c r="C222">
        <v>1937628.26</v>
      </c>
      <c r="D222">
        <v>0</v>
      </c>
      <c r="E222">
        <v>57.11</v>
      </c>
      <c r="F222">
        <v>3.669</v>
      </c>
      <c r="G222">
        <v>220.69743320000001</v>
      </c>
      <c r="H222">
        <v>7.0570000000000004</v>
      </c>
      <c r="I222" t="str">
        <f>IF(Cleaned_Data[[#This Row],[Holiday_Flag]]=1,"Holiday","Non-Holiday")</f>
        <v>Non-Holiday</v>
      </c>
    </row>
    <row r="223" spans="1:9" x14ac:dyDescent="0.35">
      <c r="A223">
        <v>2</v>
      </c>
      <c r="B223" s="1">
        <v>40984</v>
      </c>
      <c r="C223">
        <v>1976082.13</v>
      </c>
      <c r="D223">
        <v>0</v>
      </c>
      <c r="E223">
        <v>63.68</v>
      </c>
      <c r="F223">
        <v>3.734</v>
      </c>
      <c r="G223">
        <v>220.84984679999999</v>
      </c>
      <c r="H223">
        <v>7.0570000000000004</v>
      </c>
      <c r="I223" t="str">
        <f>IF(Cleaned_Data[[#This Row],[Holiday_Flag]]=1,"Holiday","Non-Holiday")</f>
        <v>Non-Holiday</v>
      </c>
    </row>
    <row r="224" spans="1:9" x14ac:dyDescent="0.35">
      <c r="A224">
        <v>2</v>
      </c>
      <c r="B224" s="1">
        <v>40991</v>
      </c>
      <c r="C224">
        <v>1790439.16</v>
      </c>
      <c r="D224">
        <v>0</v>
      </c>
      <c r="E224">
        <v>64.010000000000005</v>
      </c>
      <c r="F224">
        <v>3.7869999999999999</v>
      </c>
      <c r="G224">
        <v>220.92448580000001</v>
      </c>
      <c r="H224">
        <v>7.0570000000000004</v>
      </c>
      <c r="I224" t="str">
        <f>IF(Cleaned_Data[[#This Row],[Holiday_Flag]]=1,"Holiday","Non-Holiday")</f>
        <v>Non-Holiday</v>
      </c>
    </row>
    <row r="225" spans="1:9" x14ac:dyDescent="0.35">
      <c r="A225">
        <v>2</v>
      </c>
      <c r="B225" s="1">
        <v>40998</v>
      </c>
      <c r="C225">
        <v>1857480.84</v>
      </c>
      <c r="D225">
        <v>0</v>
      </c>
      <c r="E225">
        <v>66.83</v>
      </c>
      <c r="F225">
        <v>3.8450000000000002</v>
      </c>
      <c r="G225">
        <v>220.9991248</v>
      </c>
      <c r="H225">
        <v>7.0570000000000004</v>
      </c>
      <c r="I225" t="str">
        <f>IF(Cleaned_Data[[#This Row],[Holiday_Flag]]=1,"Holiday","Non-Holiday")</f>
        <v>Non-Holiday</v>
      </c>
    </row>
    <row r="226" spans="1:9" x14ac:dyDescent="0.35">
      <c r="A226">
        <v>2</v>
      </c>
      <c r="B226" s="1">
        <v>41064</v>
      </c>
      <c r="C226">
        <v>2129035.91</v>
      </c>
      <c r="D226">
        <v>0</v>
      </c>
      <c r="E226">
        <v>68.430000000000007</v>
      </c>
      <c r="F226">
        <v>3.891</v>
      </c>
      <c r="G226">
        <v>221.07376379999999</v>
      </c>
      <c r="H226">
        <v>6.891</v>
      </c>
      <c r="I226" t="str">
        <f>IF(Cleaned_Data[[#This Row],[Holiday_Flag]]=1,"Holiday","Non-Holiday")</f>
        <v>Non-Holiday</v>
      </c>
    </row>
    <row r="227" spans="1:9" x14ac:dyDescent="0.35">
      <c r="A227">
        <v>2</v>
      </c>
      <c r="B227" s="1">
        <v>41012</v>
      </c>
      <c r="C227">
        <v>1935869.1</v>
      </c>
      <c r="D227">
        <v>0</v>
      </c>
      <c r="E227">
        <v>68.08</v>
      </c>
      <c r="F227">
        <v>3.891</v>
      </c>
      <c r="G227">
        <v>221.14840280000001</v>
      </c>
      <c r="H227">
        <v>6.891</v>
      </c>
      <c r="I227" t="str">
        <f>IF(Cleaned_Data[[#This Row],[Holiday_Flag]]=1,"Holiday","Non-Holiday")</f>
        <v>Non-Holiday</v>
      </c>
    </row>
    <row r="228" spans="1:9" x14ac:dyDescent="0.35">
      <c r="A228">
        <v>2</v>
      </c>
      <c r="B228" s="1">
        <v>41019</v>
      </c>
      <c r="C228">
        <v>1847344.45</v>
      </c>
      <c r="D228">
        <v>0</v>
      </c>
      <c r="E228">
        <v>65.69</v>
      </c>
      <c r="F228">
        <v>3.8769999999999998</v>
      </c>
      <c r="G228">
        <v>221.20210739999999</v>
      </c>
      <c r="H228">
        <v>6.891</v>
      </c>
      <c r="I228" t="str">
        <f>IF(Cleaned_Data[[#This Row],[Holiday_Flag]]=1,"Holiday","Non-Holiday")</f>
        <v>Non-Holiday</v>
      </c>
    </row>
    <row r="229" spans="1:9" x14ac:dyDescent="0.35">
      <c r="A229">
        <v>2</v>
      </c>
      <c r="B229" s="1">
        <v>41026</v>
      </c>
      <c r="C229">
        <v>1764133.09</v>
      </c>
      <c r="D229">
        <v>0</v>
      </c>
      <c r="E229">
        <v>67.2</v>
      </c>
      <c r="F229">
        <v>3.8140000000000001</v>
      </c>
      <c r="G229">
        <v>221.25581199999999</v>
      </c>
      <c r="H229">
        <v>6.891</v>
      </c>
      <c r="I229" t="str">
        <f>IF(Cleaned_Data[[#This Row],[Holiday_Flag]]=1,"Holiday","Non-Holiday")</f>
        <v>Non-Holiday</v>
      </c>
    </row>
    <row r="230" spans="1:9" x14ac:dyDescent="0.35">
      <c r="A230">
        <v>2</v>
      </c>
      <c r="B230" s="1">
        <v>41004</v>
      </c>
      <c r="C230">
        <v>1923957.09</v>
      </c>
      <c r="D230">
        <v>0</v>
      </c>
      <c r="E230">
        <v>76.73</v>
      </c>
      <c r="F230">
        <v>3.7490000000000001</v>
      </c>
      <c r="G230">
        <v>221.30951659999999</v>
      </c>
      <c r="H230">
        <v>6.891</v>
      </c>
      <c r="I230" t="str">
        <f>IF(Cleaned_Data[[#This Row],[Holiday_Flag]]=1,"Holiday","Non-Holiday")</f>
        <v>Non-Holiday</v>
      </c>
    </row>
    <row r="231" spans="1:9" x14ac:dyDescent="0.35">
      <c r="A231">
        <v>2</v>
      </c>
      <c r="B231" s="1">
        <v>41218</v>
      </c>
      <c r="C231">
        <v>1917520.99</v>
      </c>
      <c r="D231">
        <v>0</v>
      </c>
      <c r="E231">
        <v>73.87</v>
      </c>
      <c r="F231">
        <v>3.6880000000000002</v>
      </c>
      <c r="G231">
        <v>221.3632212</v>
      </c>
      <c r="H231">
        <v>6.891</v>
      </c>
      <c r="I231" t="str">
        <f>IF(Cleaned_Data[[#This Row],[Holiday_Flag]]=1,"Holiday","Non-Holiday")</f>
        <v>Non-Holiday</v>
      </c>
    </row>
    <row r="232" spans="1:9" x14ac:dyDescent="0.35">
      <c r="A232">
        <v>2</v>
      </c>
      <c r="B232" s="1">
        <v>41047</v>
      </c>
      <c r="C232">
        <v>2000940.67</v>
      </c>
      <c r="D232">
        <v>0</v>
      </c>
      <c r="E232">
        <v>71.27</v>
      </c>
      <c r="F232">
        <v>3.63</v>
      </c>
      <c r="G232">
        <v>221.38033100000001</v>
      </c>
      <c r="H232">
        <v>6.891</v>
      </c>
      <c r="I232" t="str">
        <f>IF(Cleaned_Data[[#This Row],[Holiday_Flag]]=1,"Holiday","Non-Holiday")</f>
        <v>Non-Holiday</v>
      </c>
    </row>
    <row r="233" spans="1:9" x14ac:dyDescent="0.35">
      <c r="A233">
        <v>2</v>
      </c>
      <c r="B233" s="1">
        <v>41054</v>
      </c>
      <c r="C233">
        <v>1912791.09</v>
      </c>
      <c r="D233">
        <v>0</v>
      </c>
      <c r="E233">
        <v>78.19</v>
      </c>
      <c r="F233">
        <v>3.5609999999999999</v>
      </c>
      <c r="G233">
        <v>221.3828029</v>
      </c>
      <c r="H233">
        <v>6.891</v>
      </c>
      <c r="I233" t="str">
        <f>IF(Cleaned_Data[[#This Row],[Holiday_Flag]]=1,"Holiday","Non-Holiday")</f>
        <v>Non-Holiday</v>
      </c>
    </row>
    <row r="234" spans="1:9" x14ac:dyDescent="0.35">
      <c r="A234">
        <v>2</v>
      </c>
      <c r="B234" s="1">
        <v>40914</v>
      </c>
      <c r="C234">
        <v>1910092.37</v>
      </c>
      <c r="D234">
        <v>0</v>
      </c>
      <c r="E234">
        <v>78.38</v>
      </c>
      <c r="F234">
        <v>3.5009999999999999</v>
      </c>
      <c r="G234">
        <v>221.38527479999999</v>
      </c>
      <c r="H234">
        <v>6.891</v>
      </c>
      <c r="I234" t="str">
        <f>IF(Cleaned_Data[[#This Row],[Holiday_Flag]]=1,"Holiday","Non-Holiday")</f>
        <v>Non-Holiday</v>
      </c>
    </row>
    <row r="235" spans="1:9" x14ac:dyDescent="0.35">
      <c r="A235">
        <v>2</v>
      </c>
      <c r="B235" s="1">
        <v>41127</v>
      </c>
      <c r="C235">
        <v>2010216.49</v>
      </c>
      <c r="D235">
        <v>0</v>
      </c>
      <c r="E235">
        <v>78.69</v>
      </c>
      <c r="F235">
        <v>3.452</v>
      </c>
      <c r="G235">
        <v>221.38774670000001</v>
      </c>
      <c r="H235">
        <v>6.891</v>
      </c>
      <c r="I235" t="str">
        <f>IF(Cleaned_Data[[#This Row],[Holiday_Flag]]=1,"Holiday","Non-Holiday")</f>
        <v>Non-Holiday</v>
      </c>
    </row>
    <row r="236" spans="1:9" x14ac:dyDescent="0.35">
      <c r="A236">
        <v>2</v>
      </c>
      <c r="B236" s="1">
        <v>41075</v>
      </c>
      <c r="C236">
        <v>1962924.3</v>
      </c>
      <c r="D236">
        <v>0</v>
      </c>
      <c r="E236">
        <v>80.56</v>
      </c>
      <c r="F236">
        <v>3.3929999999999998</v>
      </c>
      <c r="G236">
        <v>221.4009901</v>
      </c>
      <c r="H236">
        <v>6.891</v>
      </c>
      <c r="I236" t="str">
        <f>IF(Cleaned_Data[[#This Row],[Holiday_Flag]]=1,"Holiday","Non-Holiday")</f>
        <v>Non-Holiday</v>
      </c>
    </row>
    <row r="237" spans="1:9" x14ac:dyDescent="0.35">
      <c r="A237">
        <v>2</v>
      </c>
      <c r="B237" s="1">
        <v>41082</v>
      </c>
      <c r="C237">
        <v>1887733.21</v>
      </c>
      <c r="D237">
        <v>0</v>
      </c>
      <c r="E237">
        <v>81.040000000000006</v>
      </c>
      <c r="F237">
        <v>3.3460000000000001</v>
      </c>
      <c r="G237">
        <v>221.44116220000001</v>
      </c>
      <c r="H237">
        <v>6.891</v>
      </c>
      <c r="I237" t="str">
        <f>IF(Cleaned_Data[[#This Row],[Holiday_Flag]]=1,"Holiday","Non-Holiday")</f>
        <v>Non-Holiday</v>
      </c>
    </row>
    <row r="238" spans="1:9" x14ac:dyDescent="0.35">
      <c r="A238">
        <v>2</v>
      </c>
      <c r="B238" s="1">
        <v>41089</v>
      </c>
      <c r="C238">
        <v>1881046.12</v>
      </c>
      <c r="D238">
        <v>0</v>
      </c>
      <c r="E238">
        <v>86.32</v>
      </c>
      <c r="F238">
        <v>3.286</v>
      </c>
      <c r="G238">
        <v>221.48133429999999</v>
      </c>
      <c r="H238">
        <v>6.891</v>
      </c>
      <c r="I238" t="str">
        <f>IF(Cleaned_Data[[#This Row],[Holiday_Flag]]=1,"Holiday","Non-Holiday")</f>
        <v>Non-Holiday</v>
      </c>
    </row>
    <row r="239" spans="1:9" x14ac:dyDescent="0.35">
      <c r="A239">
        <v>2</v>
      </c>
      <c r="B239" s="1">
        <v>41067</v>
      </c>
      <c r="C239">
        <v>2041507.4</v>
      </c>
      <c r="D239">
        <v>0</v>
      </c>
      <c r="E239">
        <v>84.2</v>
      </c>
      <c r="F239">
        <v>3.2269999999999999</v>
      </c>
      <c r="G239">
        <v>221.52150639999999</v>
      </c>
      <c r="H239">
        <v>6.5650000000000004</v>
      </c>
      <c r="I239" t="str">
        <f>IF(Cleaned_Data[[#This Row],[Holiday_Flag]]=1,"Holiday","Non-Holiday")</f>
        <v>Non-Holiday</v>
      </c>
    </row>
    <row r="240" spans="1:9" x14ac:dyDescent="0.35">
      <c r="A240">
        <v>2</v>
      </c>
      <c r="B240" s="1">
        <v>41103</v>
      </c>
      <c r="C240">
        <v>1830075.13</v>
      </c>
      <c r="D240">
        <v>0</v>
      </c>
      <c r="E240">
        <v>80.17</v>
      </c>
      <c r="F240">
        <v>3.2559999999999998</v>
      </c>
      <c r="G240">
        <v>221.56167840000001</v>
      </c>
      <c r="H240">
        <v>6.5650000000000004</v>
      </c>
      <c r="I240" t="str">
        <f>IF(Cleaned_Data[[#This Row],[Holiday_Flag]]=1,"Holiday","Non-Holiday")</f>
        <v>Non-Holiday</v>
      </c>
    </row>
    <row r="241" spans="1:9" x14ac:dyDescent="0.35">
      <c r="A241">
        <v>2</v>
      </c>
      <c r="B241" s="1">
        <v>41110</v>
      </c>
      <c r="C241">
        <v>1819666.46</v>
      </c>
      <c r="D241">
        <v>0</v>
      </c>
      <c r="E241">
        <v>83.23</v>
      </c>
      <c r="F241">
        <v>3.3109999999999999</v>
      </c>
      <c r="G241">
        <v>221.57011230000001</v>
      </c>
      <c r="H241">
        <v>6.5650000000000004</v>
      </c>
      <c r="I241" t="str">
        <f>IF(Cleaned_Data[[#This Row],[Holiday_Flag]]=1,"Holiday","Non-Holiday")</f>
        <v>Non-Holiday</v>
      </c>
    </row>
    <row r="242" spans="1:9" x14ac:dyDescent="0.35">
      <c r="A242">
        <v>2</v>
      </c>
      <c r="B242" s="1">
        <v>41117</v>
      </c>
      <c r="C242">
        <v>1757923.88</v>
      </c>
      <c r="D242">
        <v>0</v>
      </c>
      <c r="E242">
        <v>86.37</v>
      </c>
      <c r="F242">
        <v>3.407</v>
      </c>
      <c r="G242">
        <v>221.57854610000001</v>
      </c>
      <c r="H242">
        <v>6.5650000000000004</v>
      </c>
      <c r="I242" t="str">
        <f>IF(Cleaned_Data[[#This Row],[Holiday_Flag]]=1,"Holiday","Non-Holiday")</f>
        <v>Non-Holiday</v>
      </c>
    </row>
    <row r="243" spans="1:9" x14ac:dyDescent="0.35">
      <c r="A243">
        <v>2</v>
      </c>
      <c r="B243" s="1">
        <v>40976</v>
      </c>
      <c r="C243">
        <v>1946104.64</v>
      </c>
      <c r="D243">
        <v>0</v>
      </c>
      <c r="E243">
        <v>90.22</v>
      </c>
      <c r="F243">
        <v>3.4169999999999998</v>
      </c>
      <c r="G243">
        <v>221.58697989999999</v>
      </c>
      <c r="H243">
        <v>6.5650000000000004</v>
      </c>
      <c r="I243" t="str">
        <f>IF(Cleaned_Data[[#This Row],[Holiday_Flag]]=1,"Holiday","Non-Holiday")</f>
        <v>Non-Holiday</v>
      </c>
    </row>
    <row r="244" spans="1:9" x14ac:dyDescent="0.35">
      <c r="A244">
        <v>2</v>
      </c>
      <c r="B244" s="1">
        <v>41190</v>
      </c>
      <c r="C244">
        <v>1866719.96</v>
      </c>
      <c r="D244">
        <v>0</v>
      </c>
      <c r="E244">
        <v>88.55</v>
      </c>
      <c r="F244">
        <v>3.4940000000000002</v>
      </c>
      <c r="G244">
        <v>221.59541379999999</v>
      </c>
      <c r="H244">
        <v>6.5650000000000004</v>
      </c>
      <c r="I244" t="str">
        <f>IF(Cleaned_Data[[#This Row],[Holiday_Flag]]=1,"Holiday","Non-Holiday")</f>
        <v>Non-Holiday</v>
      </c>
    </row>
    <row r="245" spans="1:9" x14ac:dyDescent="0.35">
      <c r="A245">
        <v>2</v>
      </c>
      <c r="B245" s="1">
        <v>41138</v>
      </c>
      <c r="C245">
        <v>1928016.01</v>
      </c>
      <c r="D245">
        <v>0</v>
      </c>
      <c r="E245">
        <v>84.79</v>
      </c>
      <c r="F245">
        <v>3.5710000000000002</v>
      </c>
      <c r="G245">
        <v>221.67514589999999</v>
      </c>
      <c r="H245">
        <v>6.5650000000000004</v>
      </c>
      <c r="I245" t="str">
        <f>IF(Cleaned_Data[[#This Row],[Holiday_Flag]]=1,"Holiday","Non-Holiday")</f>
        <v>Non-Holiday</v>
      </c>
    </row>
    <row r="246" spans="1:9" x14ac:dyDescent="0.35">
      <c r="A246">
        <v>2</v>
      </c>
      <c r="B246" s="1">
        <v>41145</v>
      </c>
      <c r="C246">
        <v>1876788.15</v>
      </c>
      <c r="D246">
        <v>0</v>
      </c>
      <c r="E246">
        <v>76.91</v>
      </c>
      <c r="F246">
        <v>3.62</v>
      </c>
      <c r="G246">
        <v>221.8083518</v>
      </c>
      <c r="H246">
        <v>6.5650000000000004</v>
      </c>
      <c r="I246" t="str">
        <f>IF(Cleaned_Data[[#This Row],[Holiday_Flag]]=1,"Holiday","Non-Holiday")</f>
        <v>Non-Holiday</v>
      </c>
    </row>
    <row r="247" spans="1:9" x14ac:dyDescent="0.35">
      <c r="A247">
        <v>2</v>
      </c>
      <c r="B247" s="1">
        <v>41152</v>
      </c>
      <c r="C247">
        <v>1947083.3</v>
      </c>
      <c r="D247">
        <v>0</v>
      </c>
      <c r="E247">
        <v>82.64</v>
      </c>
      <c r="F247">
        <v>3.6379999999999999</v>
      </c>
      <c r="G247">
        <v>221.94155760000001</v>
      </c>
      <c r="H247">
        <v>6.5650000000000004</v>
      </c>
      <c r="I247" t="str">
        <f>IF(Cleaned_Data[[#This Row],[Holiday_Flag]]=1,"Holiday","Non-Holiday")</f>
        <v>Non-Holiday</v>
      </c>
    </row>
    <row r="248" spans="1:9" x14ac:dyDescent="0.35">
      <c r="A248">
        <v>2</v>
      </c>
      <c r="B248" s="1">
        <v>41099</v>
      </c>
      <c r="C248">
        <v>1898777.07</v>
      </c>
      <c r="D248">
        <v>1</v>
      </c>
      <c r="E248">
        <v>87.65</v>
      </c>
      <c r="F248">
        <v>3.73</v>
      </c>
      <c r="G248">
        <v>222.07476349999999</v>
      </c>
      <c r="H248">
        <v>6.5650000000000004</v>
      </c>
      <c r="I248" t="str">
        <f>IF(Cleaned_Data[[#This Row],[Holiday_Flag]]=1,"Holiday","Non-Holiday")</f>
        <v>Holiday</v>
      </c>
    </row>
    <row r="249" spans="1:9" x14ac:dyDescent="0.35">
      <c r="A249">
        <v>2</v>
      </c>
      <c r="B249" s="1">
        <v>41166</v>
      </c>
      <c r="C249">
        <v>1814806.63</v>
      </c>
      <c r="D249">
        <v>0</v>
      </c>
      <c r="E249">
        <v>75.88</v>
      </c>
      <c r="F249">
        <v>3.7170000000000001</v>
      </c>
      <c r="G249">
        <v>222.21743950000001</v>
      </c>
      <c r="H249">
        <v>6.5650000000000004</v>
      </c>
      <c r="I249" t="str">
        <f>IF(Cleaned_Data[[#This Row],[Holiday_Flag]]=1,"Holiday","Non-Holiday")</f>
        <v>Non-Holiday</v>
      </c>
    </row>
    <row r="250" spans="1:9" x14ac:dyDescent="0.35">
      <c r="A250">
        <v>2</v>
      </c>
      <c r="B250" s="1">
        <v>41173</v>
      </c>
      <c r="C250">
        <v>1829415.67</v>
      </c>
      <c r="D250">
        <v>0</v>
      </c>
      <c r="E250">
        <v>71.09</v>
      </c>
      <c r="F250">
        <v>3.7210000000000001</v>
      </c>
      <c r="G250">
        <v>222.41693620000001</v>
      </c>
      <c r="H250">
        <v>6.5650000000000004</v>
      </c>
      <c r="I250" t="str">
        <f>IF(Cleaned_Data[[#This Row],[Holiday_Flag]]=1,"Holiday","Non-Holiday")</f>
        <v>Non-Holiday</v>
      </c>
    </row>
    <row r="251" spans="1:9" x14ac:dyDescent="0.35">
      <c r="A251">
        <v>2</v>
      </c>
      <c r="B251" s="1">
        <v>41180</v>
      </c>
      <c r="C251">
        <v>1746470.56</v>
      </c>
      <c r="D251">
        <v>0</v>
      </c>
      <c r="E251">
        <v>79.45</v>
      </c>
      <c r="F251">
        <v>3.6659999999999999</v>
      </c>
      <c r="G251">
        <v>222.61643290000001</v>
      </c>
      <c r="H251">
        <v>6.5650000000000004</v>
      </c>
      <c r="I251" t="str">
        <f>IF(Cleaned_Data[[#This Row],[Holiday_Flag]]=1,"Holiday","Non-Holiday")</f>
        <v>Non-Holiday</v>
      </c>
    </row>
    <row r="252" spans="1:9" x14ac:dyDescent="0.35">
      <c r="A252">
        <v>2</v>
      </c>
      <c r="B252" s="1">
        <v>41039</v>
      </c>
      <c r="C252">
        <v>1998321.04</v>
      </c>
      <c r="D252">
        <v>0</v>
      </c>
      <c r="E252">
        <v>70.27</v>
      </c>
      <c r="F252">
        <v>3.617</v>
      </c>
      <c r="G252">
        <v>222.8159296</v>
      </c>
      <c r="H252">
        <v>6.17</v>
      </c>
      <c r="I252" t="str">
        <f>IF(Cleaned_Data[[#This Row],[Holiday_Flag]]=1,"Holiday","Non-Holiday")</f>
        <v>Non-Holiday</v>
      </c>
    </row>
    <row r="253" spans="1:9" x14ac:dyDescent="0.35">
      <c r="A253">
        <v>2</v>
      </c>
      <c r="B253" s="1">
        <v>41253</v>
      </c>
      <c r="C253">
        <v>1900745.13</v>
      </c>
      <c r="D253">
        <v>0</v>
      </c>
      <c r="E253">
        <v>60.97</v>
      </c>
      <c r="F253">
        <v>3.601</v>
      </c>
      <c r="G253">
        <v>223.0154263</v>
      </c>
      <c r="H253">
        <v>6.17</v>
      </c>
      <c r="I253" t="str">
        <f>IF(Cleaned_Data[[#This Row],[Holiday_Flag]]=1,"Holiday","Non-Holiday")</f>
        <v>Non-Holiday</v>
      </c>
    </row>
    <row r="254" spans="1:9" x14ac:dyDescent="0.35">
      <c r="A254">
        <v>2</v>
      </c>
      <c r="B254" s="1">
        <v>41201</v>
      </c>
      <c r="C254">
        <v>1847990.41</v>
      </c>
      <c r="D254">
        <v>0</v>
      </c>
      <c r="E254">
        <v>68.08</v>
      </c>
      <c r="F254">
        <v>3.5939999999999999</v>
      </c>
      <c r="G254">
        <v>223.05980769999999</v>
      </c>
      <c r="H254">
        <v>6.17</v>
      </c>
      <c r="I254" t="str">
        <f>IF(Cleaned_Data[[#This Row],[Holiday_Flag]]=1,"Holiday","Non-Holiday")</f>
        <v>Non-Holiday</v>
      </c>
    </row>
    <row r="255" spans="1:9" x14ac:dyDescent="0.35">
      <c r="A255">
        <v>2</v>
      </c>
      <c r="B255" s="1">
        <v>41208</v>
      </c>
      <c r="C255">
        <v>1834458.35</v>
      </c>
      <c r="D255">
        <v>0</v>
      </c>
      <c r="E255">
        <v>69.790000000000006</v>
      </c>
      <c r="F255">
        <v>3.5059999999999998</v>
      </c>
      <c r="G255">
        <v>223.0783366</v>
      </c>
      <c r="H255">
        <v>6.17</v>
      </c>
      <c r="I255" t="str">
        <f>IF(Cleaned_Data[[#This Row],[Holiday_Flag]]=1,"Holiday","Non-Holiday")</f>
        <v>Non-Holiday</v>
      </c>
    </row>
    <row r="256" spans="1:9" x14ac:dyDescent="0.35">
      <c r="A256">
        <v>3</v>
      </c>
      <c r="B256" s="1">
        <v>40300</v>
      </c>
      <c r="C256">
        <v>461622.22</v>
      </c>
      <c r="D256">
        <v>0</v>
      </c>
      <c r="E256">
        <v>45.71</v>
      </c>
      <c r="F256">
        <v>2.5720000000000001</v>
      </c>
      <c r="G256">
        <v>214.42488119999999</v>
      </c>
      <c r="H256">
        <v>7.3680000000000003</v>
      </c>
      <c r="I256" t="str">
        <f>IF(Cleaned_Data[[#This Row],[Holiday_Flag]]=1,"Holiday","Non-Holiday")</f>
        <v>Non-Holiday</v>
      </c>
    </row>
    <row r="257" spans="1:9" x14ac:dyDescent="0.35">
      <c r="A257">
        <v>3</v>
      </c>
      <c r="B257" s="1">
        <v>40514</v>
      </c>
      <c r="C257">
        <v>420728.96</v>
      </c>
      <c r="D257">
        <v>1</v>
      </c>
      <c r="E257">
        <v>47.93</v>
      </c>
      <c r="F257">
        <v>2.548</v>
      </c>
      <c r="G257">
        <v>214.5747916</v>
      </c>
      <c r="H257">
        <v>7.3680000000000003</v>
      </c>
      <c r="I257" t="str">
        <f>IF(Cleaned_Data[[#This Row],[Holiday_Flag]]=1,"Holiday","Non-Holiday")</f>
        <v>Holiday</v>
      </c>
    </row>
    <row r="258" spans="1:9" x14ac:dyDescent="0.35">
      <c r="A258">
        <v>3</v>
      </c>
      <c r="B258" s="1">
        <v>40228</v>
      </c>
      <c r="C258">
        <v>421642.19</v>
      </c>
      <c r="D258">
        <v>0</v>
      </c>
      <c r="E258">
        <v>47.07</v>
      </c>
      <c r="F258">
        <v>2.5139999999999998</v>
      </c>
      <c r="G258">
        <v>214.61988679999999</v>
      </c>
      <c r="H258">
        <v>7.3680000000000003</v>
      </c>
      <c r="I258" t="str">
        <f>IF(Cleaned_Data[[#This Row],[Holiday_Flag]]=1,"Holiday","Non-Holiday")</f>
        <v>Non-Holiday</v>
      </c>
    </row>
    <row r="259" spans="1:9" x14ac:dyDescent="0.35">
      <c r="A259">
        <v>3</v>
      </c>
      <c r="B259" s="1">
        <v>40235</v>
      </c>
      <c r="C259">
        <v>407204.86</v>
      </c>
      <c r="D259">
        <v>0</v>
      </c>
      <c r="E259">
        <v>52.05</v>
      </c>
      <c r="F259">
        <v>2.5609999999999999</v>
      </c>
      <c r="G259">
        <v>214.64751269999999</v>
      </c>
      <c r="H259">
        <v>7.3680000000000003</v>
      </c>
      <c r="I259" t="str">
        <f>IF(Cleaned_Data[[#This Row],[Holiday_Flag]]=1,"Holiday","Non-Holiday")</f>
        <v>Non-Holiday</v>
      </c>
    </row>
    <row r="260" spans="1:9" x14ac:dyDescent="0.35">
      <c r="A260">
        <v>3</v>
      </c>
      <c r="B260" s="1">
        <v>40301</v>
      </c>
      <c r="C260">
        <v>415202.04</v>
      </c>
      <c r="D260">
        <v>0</v>
      </c>
      <c r="E260">
        <v>53.04</v>
      </c>
      <c r="F260">
        <v>2.625</v>
      </c>
      <c r="G260">
        <v>214.6751386</v>
      </c>
      <c r="H260">
        <v>7.3680000000000003</v>
      </c>
      <c r="I260" t="str">
        <f>IF(Cleaned_Data[[#This Row],[Holiday_Flag]]=1,"Holiday","Non-Holiday")</f>
        <v>Non-Holiday</v>
      </c>
    </row>
    <row r="261" spans="1:9" x14ac:dyDescent="0.35">
      <c r="A261">
        <v>3</v>
      </c>
      <c r="B261" s="1">
        <v>40515</v>
      </c>
      <c r="C261">
        <v>384200.69</v>
      </c>
      <c r="D261">
        <v>0</v>
      </c>
      <c r="E261">
        <v>63.08</v>
      </c>
      <c r="F261">
        <v>2.6669999999999998</v>
      </c>
      <c r="G261">
        <v>214.70276459999999</v>
      </c>
      <c r="H261">
        <v>7.3680000000000003</v>
      </c>
      <c r="I261" t="str">
        <f>IF(Cleaned_Data[[#This Row],[Holiday_Flag]]=1,"Holiday","Non-Holiday")</f>
        <v>Non-Holiday</v>
      </c>
    </row>
    <row r="262" spans="1:9" x14ac:dyDescent="0.35">
      <c r="A262">
        <v>3</v>
      </c>
      <c r="B262" s="1">
        <v>40256</v>
      </c>
      <c r="C262">
        <v>375328.59</v>
      </c>
      <c r="D262">
        <v>0</v>
      </c>
      <c r="E262">
        <v>60.42</v>
      </c>
      <c r="F262">
        <v>2.72</v>
      </c>
      <c r="G262">
        <v>214.53012190000001</v>
      </c>
      <c r="H262">
        <v>7.3680000000000003</v>
      </c>
      <c r="I262" t="str">
        <f>IF(Cleaned_Data[[#This Row],[Holiday_Flag]]=1,"Holiday","Non-Holiday")</f>
        <v>Non-Holiday</v>
      </c>
    </row>
    <row r="263" spans="1:9" x14ac:dyDescent="0.35">
      <c r="A263">
        <v>3</v>
      </c>
      <c r="B263" s="1">
        <v>40263</v>
      </c>
      <c r="C263">
        <v>359949.27</v>
      </c>
      <c r="D263">
        <v>0</v>
      </c>
      <c r="E263">
        <v>57.06</v>
      </c>
      <c r="F263">
        <v>2.7320000000000002</v>
      </c>
      <c r="G263">
        <v>214.32410110000001</v>
      </c>
      <c r="H263">
        <v>7.3680000000000003</v>
      </c>
      <c r="I263" t="str">
        <f>IF(Cleaned_Data[[#This Row],[Holiday_Flag]]=1,"Holiday","Non-Holiday")</f>
        <v>Non-Holiday</v>
      </c>
    </row>
    <row r="264" spans="1:9" x14ac:dyDescent="0.35">
      <c r="A264">
        <v>3</v>
      </c>
      <c r="B264" s="1">
        <v>40425</v>
      </c>
      <c r="C264">
        <v>415870.28</v>
      </c>
      <c r="D264">
        <v>0</v>
      </c>
      <c r="E264">
        <v>68</v>
      </c>
      <c r="F264">
        <v>2.77</v>
      </c>
      <c r="G264">
        <v>213.9120595</v>
      </c>
      <c r="H264">
        <v>7.343</v>
      </c>
      <c r="I264" t="str">
        <f>IF(Cleaned_Data[[#This Row],[Holiday_Flag]]=1,"Holiday","Non-Holiday")</f>
        <v>Non-Holiday</v>
      </c>
    </row>
    <row r="265" spans="1:9" x14ac:dyDescent="0.35">
      <c r="A265">
        <v>3</v>
      </c>
      <c r="B265" s="1">
        <v>40284</v>
      </c>
      <c r="C265">
        <v>354993.26</v>
      </c>
      <c r="D265">
        <v>0</v>
      </c>
      <c r="E265">
        <v>66.98</v>
      </c>
      <c r="F265">
        <v>2.8079999999999998</v>
      </c>
      <c r="G265">
        <v>213.77268889999999</v>
      </c>
      <c r="H265">
        <v>7.343</v>
      </c>
      <c r="I265" t="str">
        <f>IF(Cleaned_Data[[#This Row],[Holiday_Flag]]=1,"Holiday","Non-Holiday")</f>
        <v>Non-Holiday</v>
      </c>
    </row>
    <row r="266" spans="1:9" x14ac:dyDescent="0.35">
      <c r="A266">
        <v>3</v>
      </c>
      <c r="B266" s="1">
        <v>40291</v>
      </c>
      <c r="C266">
        <v>339976.65</v>
      </c>
      <c r="D266">
        <v>0</v>
      </c>
      <c r="E266">
        <v>67.87</v>
      </c>
      <c r="F266">
        <v>2.7949999999999999</v>
      </c>
      <c r="G266">
        <v>213.72218520000001</v>
      </c>
      <c r="H266">
        <v>7.343</v>
      </c>
      <c r="I266" t="str">
        <f>IF(Cleaned_Data[[#This Row],[Holiday_Flag]]=1,"Holiday","Non-Holiday")</f>
        <v>Non-Holiday</v>
      </c>
    </row>
    <row r="267" spans="1:9" x14ac:dyDescent="0.35">
      <c r="A267">
        <v>3</v>
      </c>
      <c r="B267" s="1">
        <v>40298</v>
      </c>
      <c r="C267">
        <v>361248.39</v>
      </c>
      <c r="D267">
        <v>0</v>
      </c>
      <c r="E267">
        <v>70.239999999999995</v>
      </c>
      <c r="F267">
        <v>2.78</v>
      </c>
      <c r="G267">
        <v>213.67168150000001</v>
      </c>
      <c r="H267">
        <v>7.343</v>
      </c>
      <c r="I267" t="str">
        <f>IF(Cleaned_Data[[#This Row],[Holiday_Flag]]=1,"Holiday","Non-Holiday")</f>
        <v>Non-Holiday</v>
      </c>
    </row>
    <row r="268" spans="1:9" x14ac:dyDescent="0.35">
      <c r="A268">
        <v>3</v>
      </c>
      <c r="B268" s="1">
        <v>40364</v>
      </c>
      <c r="C268">
        <v>399323.86</v>
      </c>
      <c r="D268">
        <v>0</v>
      </c>
      <c r="E268">
        <v>73.47</v>
      </c>
      <c r="F268">
        <v>3</v>
      </c>
      <c r="G268">
        <v>213.6211778</v>
      </c>
      <c r="H268">
        <v>7.343</v>
      </c>
      <c r="I268" t="str">
        <f>IF(Cleaned_Data[[#This Row],[Holiday_Flag]]=1,"Holiday","Non-Holiday")</f>
        <v>Non-Holiday</v>
      </c>
    </row>
    <row r="269" spans="1:9" x14ac:dyDescent="0.35">
      <c r="A269">
        <v>3</v>
      </c>
      <c r="B269" s="1">
        <v>40312</v>
      </c>
      <c r="C269">
        <v>384357.94</v>
      </c>
      <c r="D269">
        <v>0</v>
      </c>
      <c r="E269">
        <v>77.180000000000007</v>
      </c>
      <c r="F269">
        <v>2.8540000000000001</v>
      </c>
      <c r="G269">
        <v>213.61961389999999</v>
      </c>
      <c r="H269">
        <v>7.343</v>
      </c>
      <c r="I269" t="str">
        <f>IF(Cleaned_Data[[#This Row],[Holiday_Flag]]=1,"Holiday","Non-Holiday")</f>
        <v>Non-Holiday</v>
      </c>
    </row>
    <row r="270" spans="1:9" x14ac:dyDescent="0.35">
      <c r="A270">
        <v>3</v>
      </c>
      <c r="B270" s="1">
        <v>40347</v>
      </c>
      <c r="C270">
        <v>364076.85</v>
      </c>
      <c r="D270">
        <v>0</v>
      </c>
      <c r="E270">
        <v>83.52</v>
      </c>
      <c r="F270">
        <v>2.637</v>
      </c>
      <c r="G270">
        <v>214.78582589999999</v>
      </c>
      <c r="H270">
        <v>7.343</v>
      </c>
      <c r="I270" t="str">
        <f>IF(Cleaned_Data[[#This Row],[Holiday_Flag]]=1,"Holiday","Non-Holiday")</f>
        <v>Non-Holiday</v>
      </c>
    </row>
    <row r="271" spans="1:9" x14ac:dyDescent="0.35">
      <c r="A271">
        <v>3</v>
      </c>
      <c r="B271" s="1">
        <v>40354</v>
      </c>
      <c r="C271">
        <v>357346.48</v>
      </c>
      <c r="D271">
        <v>0</v>
      </c>
      <c r="E271">
        <v>83.79</v>
      </c>
      <c r="F271">
        <v>2.653</v>
      </c>
      <c r="G271">
        <v>214.6660741</v>
      </c>
      <c r="H271">
        <v>7.343</v>
      </c>
      <c r="I271" t="str">
        <f>IF(Cleaned_Data[[#This Row],[Holiday_Flag]]=1,"Holiday","Non-Holiday")</f>
        <v>Non-Holiday</v>
      </c>
    </row>
    <row r="272" spans="1:9" x14ac:dyDescent="0.35">
      <c r="A272">
        <v>3</v>
      </c>
      <c r="B272" s="1">
        <v>40216</v>
      </c>
      <c r="C272">
        <v>381151.72</v>
      </c>
      <c r="D272">
        <v>0</v>
      </c>
      <c r="E272">
        <v>82.2</v>
      </c>
      <c r="F272">
        <v>2.669</v>
      </c>
      <c r="G272">
        <v>214.54632219999999</v>
      </c>
      <c r="H272">
        <v>7.3460000000000001</v>
      </c>
      <c r="I272" t="str">
        <f>IF(Cleaned_Data[[#This Row],[Holiday_Flag]]=1,"Holiday","Non-Holiday")</f>
        <v>Non-Holiday</v>
      </c>
    </row>
    <row r="273" spans="1:9" x14ac:dyDescent="0.35">
      <c r="A273">
        <v>3</v>
      </c>
      <c r="B273" s="1">
        <v>40375</v>
      </c>
      <c r="C273">
        <v>352728.78</v>
      </c>
      <c r="D273">
        <v>0</v>
      </c>
      <c r="E273">
        <v>84.32</v>
      </c>
      <c r="F273">
        <v>2.6230000000000002</v>
      </c>
      <c r="G273">
        <v>214.41764760000001</v>
      </c>
      <c r="H273">
        <v>7.3460000000000001</v>
      </c>
      <c r="I273" t="str">
        <f>IF(Cleaned_Data[[#This Row],[Holiday_Flag]]=1,"Holiday","Non-Holiday")</f>
        <v>Non-Holiday</v>
      </c>
    </row>
    <row r="274" spans="1:9" x14ac:dyDescent="0.35">
      <c r="A274">
        <v>3</v>
      </c>
      <c r="B274" s="1">
        <v>40382</v>
      </c>
      <c r="C274">
        <v>352864.49</v>
      </c>
      <c r="D274">
        <v>0</v>
      </c>
      <c r="E274">
        <v>83.32</v>
      </c>
      <c r="F274">
        <v>2.6080000000000001</v>
      </c>
      <c r="G274">
        <v>214.55649679999999</v>
      </c>
      <c r="H274">
        <v>7.3460000000000001</v>
      </c>
      <c r="I274" t="str">
        <f>IF(Cleaned_Data[[#This Row],[Holiday_Flag]]=1,"Holiday","Non-Holiday")</f>
        <v>Non-Holiday</v>
      </c>
    </row>
    <row r="275" spans="1:9" x14ac:dyDescent="0.35">
      <c r="A275">
        <v>3</v>
      </c>
      <c r="B275" s="1">
        <v>40337</v>
      </c>
      <c r="C275">
        <v>402635.76</v>
      </c>
      <c r="D275">
        <v>0</v>
      </c>
      <c r="E275">
        <v>85.13</v>
      </c>
      <c r="F275">
        <v>2.6269999999999998</v>
      </c>
      <c r="G275">
        <v>214.83419520000001</v>
      </c>
      <c r="H275">
        <v>7.3460000000000001</v>
      </c>
      <c r="I275" t="str">
        <f>IF(Cleaned_Data[[#This Row],[Holiday_Flag]]=1,"Holiday","Non-Holiday")</f>
        <v>Non-Holiday</v>
      </c>
    </row>
    <row r="276" spans="1:9" x14ac:dyDescent="0.35">
      <c r="A276">
        <v>3</v>
      </c>
      <c r="B276" s="1">
        <v>40410</v>
      </c>
      <c r="C276">
        <v>351728.21</v>
      </c>
      <c r="D276">
        <v>0</v>
      </c>
      <c r="E276">
        <v>88.02</v>
      </c>
      <c r="F276">
        <v>2.6640000000000001</v>
      </c>
      <c r="G276">
        <v>214.9314191</v>
      </c>
      <c r="H276">
        <v>7.3460000000000001</v>
      </c>
      <c r="I276" t="str">
        <f>IF(Cleaned_Data[[#This Row],[Holiday_Flag]]=1,"Holiday","Non-Holiday")</f>
        <v>Non-Holiday</v>
      </c>
    </row>
    <row r="277" spans="1:9" x14ac:dyDescent="0.35">
      <c r="A277">
        <v>3</v>
      </c>
      <c r="B277" s="1">
        <v>40417</v>
      </c>
      <c r="C277">
        <v>362134.09</v>
      </c>
      <c r="D277">
        <v>0</v>
      </c>
      <c r="E277">
        <v>86.15</v>
      </c>
      <c r="F277">
        <v>2.6190000000000002</v>
      </c>
      <c r="G277">
        <v>214.88979380000001</v>
      </c>
      <c r="H277">
        <v>7.3460000000000001</v>
      </c>
      <c r="I277" t="str">
        <f>IF(Cleaned_Data[[#This Row],[Holiday_Flag]]=1,"Holiday","Non-Holiday")</f>
        <v>Non-Holiday</v>
      </c>
    </row>
    <row r="278" spans="1:9" x14ac:dyDescent="0.35">
      <c r="A278">
        <v>3</v>
      </c>
      <c r="B278" s="1">
        <v>40460</v>
      </c>
      <c r="C278">
        <v>352260.97</v>
      </c>
      <c r="D278">
        <v>1</v>
      </c>
      <c r="E278">
        <v>80.84</v>
      </c>
      <c r="F278">
        <v>2.5649999999999999</v>
      </c>
      <c r="G278">
        <v>214.8065431</v>
      </c>
      <c r="H278">
        <v>7.3460000000000001</v>
      </c>
      <c r="I278" t="str">
        <f>IF(Cleaned_Data[[#This Row],[Holiday_Flag]]=1,"Holiday","Non-Holiday")</f>
        <v>Holiday</v>
      </c>
    </row>
    <row r="279" spans="1:9" x14ac:dyDescent="0.35">
      <c r="A279">
        <v>3</v>
      </c>
      <c r="B279" s="1">
        <v>40438</v>
      </c>
      <c r="C279">
        <v>363064.64</v>
      </c>
      <c r="D279">
        <v>0</v>
      </c>
      <c r="E279">
        <v>82.36</v>
      </c>
      <c r="F279">
        <v>2.5819999999999999</v>
      </c>
      <c r="G279">
        <v>214.8322484</v>
      </c>
      <c r="H279">
        <v>7.3460000000000001</v>
      </c>
      <c r="I279" t="str">
        <f>IF(Cleaned_Data[[#This Row],[Holiday_Flag]]=1,"Holiday","Non-Holiday")</f>
        <v>Non-Holiday</v>
      </c>
    </row>
    <row r="280" spans="1:9" x14ac:dyDescent="0.35">
      <c r="A280">
        <v>3</v>
      </c>
      <c r="B280" s="1">
        <v>40400</v>
      </c>
      <c r="C280">
        <v>395107.35</v>
      </c>
      <c r="D280">
        <v>0</v>
      </c>
      <c r="E280">
        <v>66.989999999999995</v>
      </c>
      <c r="F280">
        <v>2.633</v>
      </c>
      <c r="G280">
        <v>215.060858</v>
      </c>
      <c r="H280">
        <v>7.5640000000000001</v>
      </c>
      <c r="I280" t="str">
        <f>IF(Cleaned_Data[[#This Row],[Holiday_Flag]]=1,"Holiday","Non-Holiday")</f>
        <v>Non-Holiday</v>
      </c>
    </row>
    <row r="281" spans="1:9" x14ac:dyDescent="0.35">
      <c r="A281">
        <v>3</v>
      </c>
      <c r="B281" s="1">
        <v>40466</v>
      </c>
      <c r="C281">
        <v>345584.39</v>
      </c>
      <c r="D281">
        <v>0</v>
      </c>
      <c r="E281">
        <v>69.709999999999994</v>
      </c>
      <c r="F281">
        <v>2.72</v>
      </c>
      <c r="G281">
        <v>215.12931140000001</v>
      </c>
      <c r="H281">
        <v>7.5640000000000001</v>
      </c>
      <c r="I281" t="str">
        <f>IF(Cleaned_Data[[#This Row],[Holiday_Flag]]=1,"Holiday","Non-Holiday")</f>
        <v>Non-Holiday</v>
      </c>
    </row>
    <row r="282" spans="1:9" x14ac:dyDescent="0.35">
      <c r="A282">
        <v>3</v>
      </c>
      <c r="B282" s="1">
        <v>40309</v>
      </c>
      <c r="C282">
        <v>423175.56</v>
      </c>
      <c r="D282">
        <v>0</v>
      </c>
      <c r="E282">
        <v>62.94</v>
      </c>
      <c r="F282">
        <v>2.6890000000000001</v>
      </c>
      <c r="G282">
        <v>215.27654720000001</v>
      </c>
      <c r="H282">
        <v>7.5640000000000001</v>
      </c>
      <c r="I282" t="str">
        <f>IF(Cleaned_Data[[#This Row],[Holiday_Flag]]=1,"Holiday","Non-Holiday")</f>
        <v>Non-Holiday</v>
      </c>
    </row>
    <row r="283" spans="1:9" x14ac:dyDescent="0.35">
      <c r="A283">
        <v>3</v>
      </c>
      <c r="B283" s="1">
        <v>40523</v>
      </c>
      <c r="C283">
        <v>386635.03</v>
      </c>
      <c r="D283">
        <v>0</v>
      </c>
      <c r="E283">
        <v>62.79</v>
      </c>
      <c r="F283">
        <v>2.7280000000000002</v>
      </c>
      <c r="G283">
        <v>215.32562580000001</v>
      </c>
      <c r="H283">
        <v>7.5640000000000001</v>
      </c>
      <c r="I283" t="str">
        <f>IF(Cleaned_Data[[#This Row],[Holiday_Flag]]=1,"Holiday","Non-Holiday")</f>
        <v>Non-Holiday</v>
      </c>
    </row>
    <row r="284" spans="1:9" x14ac:dyDescent="0.35">
      <c r="A284">
        <v>3</v>
      </c>
      <c r="B284" s="1">
        <v>40508</v>
      </c>
      <c r="C284">
        <v>565567.84</v>
      </c>
      <c r="D284">
        <v>1</v>
      </c>
      <c r="E284">
        <v>68.709999999999994</v>
      </c>
      <c r="F284">
        <v>2.7349999999999999</v>
      </c>
      <c r="G284">
        <v>215.06140250000001</v>
      </c>
      <c r="H284">
        <v>7.5640000000000001</v>
      </c>
      <c r="I284" t="str">
        <f>IF(Cleaned_Data[[#This Row],[Holiday_Flag]]=1,"Holiday","Non-Holiday")</f>
        <v>Holiday</v>
      </c>
    </row>
    <row r="285" spans="1:9" x14ac:dyDescent="0.35">
      <c r="A285">
        <v>3</v>
      </c>
      <c r="B285" s="1">
        <v>40529</v>
      </c>
      <c r="C285">
        <v>498159.39</v>
      </c>
      <c r="D285">
        <v>0</v>
      </c>
      <c r="E285">
        <v>52.2</v>
      </c>
      <c r="F285">
        <v>2.8690000000000002</v>
      </c>
      <c r="G285">
        <v>214.70491899999999</v>
      </c>
      <c r="H285">
        <v>7.5640000000000001</v>
      </c>
      <c r="I285" t="str">
        <f>IF(Cleaned_Data[[#This Row],[Holiday_Flag]]=1,"Holiday","Non-Holiday")</f>
        <v>Non-Holiday</v>
      </c>
    </row>
    <row r="286" spans="1:9" x14ac:dyDescent="0.35">
      <c r="A286">
        <v>3</v>
      </c>
      <c r="B286" s="1">
        <v>40536</v>
      </c>
      <c r="C286">
        <v>605990.41</v>
      </c>
      <c r="D286">
        <v>0</v>
      </c>
      <c r="E286">
        <v>57.16</v>
      </c>
      <c r="F286">
        <v>2.8860000000000001</v>
      </c>
      <c r="G286">
        <v>214.70178279999999</v>
      </c>
      <c r="H286">
        <v>7.5640000000000001</v>
      </c>
      <c r="I286" t="str">
        <f>IF(Cleaned_Data[[#This Row],[Holiday_Flag]]=1,"Holiday","Non-Holiday")</f>
        <v>Non-Holiday</v>
      </c>
    </row>
    <row r="287" spans="1:9" x14ac:dyDescent="0.35">
      <c r="A287">
        <v>3</v>
      </c>
      <c r="B287" s="1">
        <v>40543</v>
      </c>
      <c r="C287">
        <v>382677.76000000001</v>
      </c>
      <c r="D287">
        <v>1</v>
      </c>
      <c r="E287">
        <v>53.2</v>
      </c>
      <c r="F287">
        <v>2.9430000000000001</v>
      </c>
      <c r="G287">
        <v>214.69864659999999</v>
      </c>
      <c r="H287">
        <v>7.5640000000000001</v>
      </c>
      <c r="I287" t="str">
        <f>IF(Cleaned_Data[[#This Row],[Holiday_Flag]]=1,"Holiday","Non-Holiday")</f>
        <v>Holiday</v>
      </c>
    </row>
    <row r="288" spans="1:9" x14ac:dyDescent="0.35">
      <c r="A288">
        <v>3</v>
      </c>
      <c r="B288" s="1">
        <v>40725</v>
      </c>
      <c r="C288">
        <v>378241.34</v>
      </c>
      <c r="D288">
        <v>0</v>
      </c>
      <c r="E288">
        <v>53.35</v>
      </c>
      <c r="F288">
        <v>2.976</v>
      </c>
      <c r="G288">
        <v>214.69551039999999</v>
      </c>
      <c r="H288">
        <v>7.5510000000000002</v>
      </c>
      <c r="I288" t="str">
        <f>IF(Cleaned_Data[[#This Row],[Holiday_Flag]]=1,"Holiday","Non-Holiday")</f>
        <v>Non-Holiday</v>
      </c>
    </row>
    <row r="289" spans="1:9" x14ac:dyDescent="0.35">
      <c r="A289">
        <v>3</v>
      </c>
      <c r="B289" s="1">
        <v>40557</v>
      </c>
      <c r="C289">
        <v>381061.1</v>
      </c>
      <c r="D289">
        <v>0</v>
      </c>
      <c r="E289">
        <v>44.76</v>
      </c>
      <c r="F289">
        <v>2.9830000000000001</v>
      </c>
      <c r="G289">
        <v>214.74707290000001</v>
      </c>
      <c r="H289">
        <v>7.5510000000000002</v>
      </c>
      <c r="I289" t="str">
        <f>IF(Cleaned_Data[[#This Row],[Holiday_Flag]]=1,"Holiday","Non-Holiday")</f>
        <v>Non-Holiday</v>
      </c>
    </row>
    <row r="290" spans="1:9" x14ac:dyDescent="0.35">
      <c r="A290">
        <v>3</v>
      </c>
      <c r="B290" s="1">
        <v>40564</v>
      </c>
      <c r="C290">
        <v>350876.7</v>
      </c>
      <c r="D290">
        <v>0</v>
      </c>
      <c r="E290">
        <v>50.74</v>
      </c>
      <c r="F290">
        <v>3.016</v>
      </c>
      <c r="G290">
        <v>215.12682749999999</v>
      </c>
      <c r="H290">
        <v>7.5510000000000002</v>
      </c>
      <c r="I290" t="str">
        <f>IF(Cleaned_Data[[#This Row],[Holiday_Flag]]=1,"Holiday","Non-Holiday")</f>
        <v>Non-Holiday</v>
      </c>
    </row>
    <row r="291" spans="1:9" x14ac:dyDescent="0.35">
      <c r="A291">
        <v>3</v>
      </c>
      <c r="B291" s="1">
        <v>40571</v>
      </c>
      <c r="C291">
        <v>364866.24</v>
      </c>
      <c r="D291">
        <v>0</v>
      </c>
      <c r="E291">
        <v>48.71</v>
      </c>
      <c r="F291">
        <v>3.01</v>
      </c>
      <c r="G291">
        <v>215.5065821</v>
      </c>
      <c r="H291">
        <v>7.5510000000000002</v>
      </c>
      <c r="I291" t="str">
        <f>IF(Cleaned_Data[[#This Row],[Holiday_Flag]]=1,"Holiday","Non-Holiday")</f>
        <v>Non-Holiday</v>
      </c>
    </row>
    <row r="292" spans="1:9" x14ac:dyDescent="0.35">
      <c r="A292">
        <v>3</v>
      </c>
      <c r="B292" s="1">
        <v>40635</v>
      </c>
      <c r="C292">
        <v>438516.53</v>
      </c>
      <c r="D292">
        <v>0</v>
      </c>
      <c r="E292">
        <v>45.95</v>
      </c>
      <c r="F292">
        <v>2.9889999999999999</v>
      </c>
      <c r="G292">
        <v>215.88633669999999</v>
      </c>
      <c r="H292">
        <v>7.5510000000000002</v>
      </c>
      <c r="I292" t="str">
        <f>IF(Cleaned_Data[[#This Row],[Holiday_Flag]]=1,"Holiday","Non-Holiday")</f>
        <v>Non-Holiday</v>
      </c>
    </row>
    <row r="293" spans="1:9" x14ac:dyDescent="0.35">
      <c r="A293">
        <v>3</v>
      </c>
      <c r="B293" s="1">
        <v>40849</v>
      </c>
      <c r="C293">
        <v>430526.21</v>
      </c>
      <c r="D293">
        <v>1</v>
      </c>
      <c r="E293">
        <v>43.57</v>
      </c>
      <c r="F293">
        <v>3.0219999999999998</v>
      </c>
      <c r="G293">
        <v>216.2660913</v>
      </c>
      <c r="H293">
        <v>7.5510000000000002</v>
      </c>
      <c r="I293" t="str">
        <f>IF(Cleaned_Data[[#This Row],[Holiday_Flag]]=1,"Holiday","Non-Holiday")</f>
        <v>Holiday</v>
      </c>
    </row>
    <row r="294" spans="1:9" x14ac:dyDescent="0.35">
      <c r="A294">
        <v>3</v>
      </c>
      <c r="B294" s="1">
        <v>40592</v>
      </c>
      <c r="C294">
        <v>432782.1</v>
      </c>
      <c r="D294">
        <v>0</v>
      </c>
      <c r="E294">
        <v>61.58</v>
      </c>
      <c r="F294">
        <v>3.0449999999999999</v>
      </c>
      <c r="G294">
        <v>216.58435710000001</v>
      </c>
      <c r="H294">
        <v>7.5510000000000002</v>
      </c>
      <c r="I294" t="str">
        <f>IF(Cleaned_Data[[#This Row],[Holiday_Flag]]=1,"Holiday","Non-Holiday")</f>
        <v>Non-Holiday</v>
      </c>
    </row>
    <row r="295" spans="1:9" x14ac:dyDescent="0.35">
      <c r="A295">
        <v>3</v>
      </c>
      <c r="B295" s="1">
        <v>40599</v>
      </c>
      <c r="C295">
        <v>397211.19</v>
      </c>
      <c r="D295">
        <v>0</v>
      </c>
      <c r="E295">
        <v>67.400000000000006</v>
      </c>
      <c r="F295">
        <v>3.0649999999999999</v>
      </c>
      <c r="G295">
        <v>216.8780275</v>
      </c>
      <c r="H295">
        <v>7.5510000000000002</v>
      </c>
      <c r="I295" t="str">
        <f>IF(Cleaned_Data[[#This Row],[Holiday_Flag]]=1,"Holiday","Non-Holiday")</f>
        <v>Non-Holiday</v>
      </c>
    </row>
    <row r="296" spans="1:9" x14ac:dyDescent="0.35">
      <c r="A296">
        <v>3</v>
      </c>
      <c r="B296" s="1">
        <v>40636</v>
      </c>
      <c r="C296">
        <v>437084.51</v>
      </c>
      <c r="D296">
        <v>0</v>
      </c>
      <c r="E296">
        <v>65.11</v>
      </c>
      <c r="F296">
        <v>3.2879999999999998</v>
      </c>
      <c r="G296">
        <v>217.1716979</v>
      </c>
      <c r="H296">
        <v>7.5510000000000002</v>
      </c>
      <c r="I296" t="str">
        <f>IF(Cleaned_Data[[#This Row],[Holiday_Flag]]=1,"Holiday","Non-Holiday")</f>
        <v>Non-Holiday</v>
      </c>
    </row>
    <row r="297" spans="1:9" x14ac:dyDescent="0.35">
      <c r="A297">
        <v>3</v>
      </c>
      <c r="B297" s="1">
        <v>40850</v>
      </c>
      <c r="C297">
        <v>404753.3</v>
      </c>
      <c r="D297">
        <v>0</v>
      </c>
      <c r="E297">
        <v>61.29</v>
      </c>
      <c r="F297">
        <v>3.4590000000000001</v>
      </c>
      <c r="G297">
        <v>217.46536829999999</v>
      </c>
      <c r="H297">
        <v>7.5510000000000002</v>
      </c>
      <c r="I297" t="str">
        <f>IF(Cleaned_Data[[#This Row],[Holiday_Flag]]=1,"Holiday","Non-Holiday")</f>
        <v>Non-Holiday</v>
      </c>
    </row>
    <row r="298" spans="1:9" x14ac:dyDescent="0.35">
      <c r="A298">
        <v>3</v>
      </c>
      <c r="B298" s="1">
        <v>40620</v>
      </c>
      <c r="C298">
        <v>392109.51</v>
      </c>
      <c r="D298">
        <v>0</v>
      </c>
      <c r="E298">
        <v>69.47</v>
      </c>
      <c r="F298">
        <v>3.488</v>
      </c>
      <c r="G298">
        <v>217.7235226</v>
      </c>
      <c r="H298">
        <v>7.5510000000000002</v>
      </c>
      <c r="I298" t="str">
        <f>IF(Cleaned_Data[[#This Row],[Holiday_Flag]]=1,"Holiday","Non-Holiday")</f>
        <v>Non-Holiday</v>
      </c>
    </row>
    <row r="299" spans="1:9" x14ac:dyDescent="0.35">
      <c r="A299">
        <v>3</v>
      </c>
      <c r="B299" s="1">
        <v>40627</v>
      </c>
      <c r="C299">
        <v>380683.67</v>
      </c>
      <c r="D299">
        <v>0</v>
      </c>
      <c r="E299">
        <v>72.94</v>
      </c>
      <c r="F299">
        <v>3.4729999999999999</v>
      </c>
      <c r="G299">
        <v>217.96747049999999</v>
      </c>
      <c r="H299">
        <v>7.5510000000000002</v>
      </c>
      <c r="I299" t="str">
        <f>IF(Cleaned_Data[[#This Row],[Holiday_Flag]]=1,"Holiday","Non-Holiday")</f>
        <v>Non-Holiday</v>
      </c>
    </row>
    <row r="300" spans="1:9" x14ac:dyDescent="0.35">
      <c r="A300">
        <v>3</v>
      </c>
      <c r="B300" s="1">
        <v>40547</v>
      </c>
      <c r="C300">
        <v>374556.08</v>
      </c>
      <c r="D300">
        <v>0</v>
      </c>
      <c r="E300">
        <v>68.760000000000005</v>
      </c>
      <c r="F300">
        <v>3.524</v>
      </c>
      <c r="G300">
        <v>218.21141840000001</v>
      </c>
      <c r="H300">
        <v>7.5739999999999998</v>
      </c>
      <c r="I300" t="str">
        <f>IF(Cleaned_Data[[#This Row],[Holiday_Flag]]=1,"Holiday","Non-Holiday")</f>
        <v>Non-Holiday</v>
      </c>
    </row>
    <row r="301" spans="1:9" x14ac:dyDescent="0.35">
      <c r="A301">
        <v>3</v>
      </c>
      <c r="B301" s="1">
        <v>40759</v>
      </c>
      <c r="C301">
        <v>384075.31</v>
      </c>
      <c r="D301">
        <v>0</v>
      </c>
      <c r="E301">
        <v>72.55</v>
      </c>
      <c r="F301">
        <v>3.6219999999999999</v>
      </c>
      <c r="G301">
        <v>218.45536630000001</v>
      </c>
      <c r="H301">
        <v>7.5739999999999998</v>
      </c>
      <c r="I301" t="str">
        <f>IF(Cleaned_Data[[#This Row],[Holiday_Flag]]=1,"Holiday","Non-Holiday")</f>
        <v>Non-Holiday</v>
      </c>
    </row>
    <row r="302" spans="1:9" x14ac:dyDescent="0.35">
      <c r="A302">
        <v>3</v>
      </c>
      <c r="B302" s="1">
        <v>40648</v>
      </c>
      <c r="C302">
        <v>366250.69</v>
      </c>
      <c r="D302">
        <v>0</v>
      </c>
      <c r="E302">
        <v>75.88</v>
      </c>
      <c r="F302">
        <v>3.7429999999999999</v>
      </c>
      <c r="G302">
        <v>218.67886419999999</v>
      </c>
      <c r="H302">
        <v>7.5739999999999998</v>
      </c>
      <c r="I302" t="str">
        <f>IF(Cleaned_Data[[#This Row],[Holiday_Flag]]=1,"Holiday","Non-Holiday")</f>
        <v>Non-Holiday</v>
      </c>
    </row>
    <row r="303" spans="1:9" x14ac:dyDescent="0.35">
      <c r="A303">
        <v>3</v>
      </c>
      <c r="B303" s="1">
        <v>40655</v>
      </c>
      <c r="C303">
        <v>391860.04</v>
      </c>
      <c r="D303">
        <v>0</v>
      </c>
      <c r="E303">
        <v>76.91</v>
      </c>
      <c r="F303">
        <v>3.8069999999999999</v>
      </c>
      <c r="G303">
        <v>218.851237</v>
      </c>
      <c r="H303">
        <v>7.5739999999999998</v>
      </c>
      <c r="I303" t="str">
        <f>IF(Cleaned_Data[[#This Row],[Holiday_Flag]]=1,"Holiday","Non-Holiday")</f>
        <v>Non-Holiday</v>
      </c>
    </row>
    <row r="304" spans="1:9" x14ac:dyDescent="0.35">
      <c r="A304">
        <v>3</v>
      </c>
      <c r="B304" s="1">
        <v>40662</v>
      </c>
      <c r="C304">
        <v>367405.4</v>
      </c>
      <c r="D304">
        <v>0</v>
      </c>
      <c r="E304">
        <v>78.69</v>
      </c>
      <c r="F304">
        <v>3.81</v>
      </c>
      <c r="G304">
        <v>219.0236099</v>
      </c>
      <c r="H304">
        <v>7.5739999999999998</v>
      </c>
      <c r="I304" t="str">
        <f>IF(Cleaned_Data[[#This Row],[Holiday_Flag]]=1,"Holiday","Non-Holiday")</f>
        <v>Non-Holiday</v>
      </c>
    </row>
    <row r="305" spans="1:9" x14ac:dyDescent="0.35">
      <c r="A305">
        <v>3</v>
      </c>
      <c r="B305" s="1">
        <v>40699</v>
      </c>
      <c r="C305">
        <v>413042.12</v>
      </c>
      <c r="D305">
        <v>0</v>
      </c>
      <c r="E305">
        <v>69.45</v>
      </c>
      <c r="F305">
        <v>3.9060000000000001</v>
      </c>
      <c r="G305">
        <v>219.1959827</v>
      </c>
      <c r="H305">
        <v>7.5739999999999998</v>
      </c>
      <c r="I305" t="str">
        <f>IF(Cleaned_Data[[#This Row],[Holiday_Flag]]=1,"Holiday","Non-Holiday")</f>
        <v>Non-Holiday</v>
      </c>
    </row>
    <row r="306" spans="1:9" x14ac:dyDescent="0.35">
      <c r="A306">
        <v>3</v>
      </c>
      <c r="B306" s="1">
        <v>40676</v>
      </c>
      <c r="C306">
        <v>386312.68</v>
      </c>
      <c r="D306">
        <v>0</v>
      </c>
      <c r="E306">
        <v>79.87</v>
      </c>
      <c r="F306">
        <v>3.899</v>
      </c>
      <c r="G306">
        <v>219.3683556</v>
      </c>
      <c r="H306">
        <v>7.5739999999999998</v>
      </c>
      <c r="I306" t="str">
        <f>IF(Cleaned_Data[[#This Row],[Holiday_Flag]]=1,"Holiday","Non-Holiday")</f>
        <v>Non-Holiday</v>
      </c>
    </row>
    <row r="307" spans="1:9" x14ac:dyDescent="0.35">
      <c r="A307">
        <v>3</v>
      </c>
      <c r="B307" s="1">
        <v>40683</v>
      </c>
      <c r="C307">
        <v>364603.13</v>
      </c>
      <c r="D307">
        <v>0</v>
      </c>
      <c r="E307">
        <v>75.790000000000006</v>
      </c>
      <c r="F307">
        <v>3.907</v>
      </c>
      <c r="G307">
        <v>219.127216</v>
      </c>
      <c r="H307">
        <v>7.5739999999999998</v>
      </c>
      <c r="I307" t="str">
        <f>IF(Cleaned_Data[[#This Row],[Holiday_Flag]]=1,"Holiday","Non-Holiday")</f>
        <v>Non-Holiday</v>
      </c>
    </row>
    <row r="308" spans="1:9" x14ac:dyDescent="0.35">
      <c r="A308">
        <v>3</v>
      </c>
      <c r="B308" s="1">
        <v>40690</v>
      </c>
      <c r="C308">
        <v>369350.6</v>
      </c>
      <c r="D308">
        <v>0</v>
      </c>
      <c r="E308">
        <v>84.41</v>
      </c>
      <c r="F308">
        <v>3.786</v>
      </c>
      <c r="G308">
        <v>218.8860765</v>
      </c>
      <c r="H308">
        <v>7.5739999999999998</v>
      </c>
      <c r="I308" t="str">
        <f>IF(Cleaned_Data[[#This Row],[Holiday_Flag]]=1,"Holiday","Non-Holiday")</f>
        <v>Non-Holiday</v>
      </c>
    </row>
    <row r="309" spans="1:9" x14ac:dyDescent="0.35">
      <c r="A309">
        <v>3</v>
      </c>
      <c r="B309" s="1">
        <v>40608</v>
      </c>
      <c r="C309">
        <v>394507.84</v>
      </c>
      <c r="D309">
        <v>0</v>
      </c>
      <c r="E309">
        <v>84.29</v>
      </c>
      <c r="F309">
        <v>3.6989999999999998</v>
      </c>
      <c r="G309">
        <v>218.6449369</v>
      </c>
      <c r="H309">
        <v>7.5739999999999998</v>
      </c>
      <c r="I309" t="str">
        <f>IF(Cleaned_Data[[#This Row],[Holiday_Flag]]=1,"Holiday","Non-Holiday")</f>
        <v>Non-Holiday</v>
      </c>
    </row>
    <row r="310" spans="1:9" x14ac:dyDescent="0.35">
      <c r="A310">
        <v>3</v>
      </c>
      <c r="B310" s="1">
        <v>40822</v>
      </c>
      <c r="C310">
        <v>391638.75</v>
      </c>
      <c r="D310">
        <v>0</v>
      </c>
      <c r="E310">
        <v>84.84</v>
      </c>
      <c r="F310">
        <v>3.6480000000000001</v>
      </c>
      <c r="G310">
        <v>218.4037974</v>
      </c>
      <c r="H310">
        <v>7.5739999999999998</v>
      </c>
      <c r="I310" t="str">
        <f>IF(Cleaned_Data[[#This Row],[Holiday_Flag]]=1,"Holiday","Non-Holiday")</f>
        <v>Non-Holiday</v>
      </c>
    </row>
    <row r="311" spans="1:9" x14ac:dyDescent="0.35">
      <c r="A311">
        <v>3</v>
      </c>
      <c r="B311" s="1">
        <v>40711</v>
      </c>
      <c r="C311">
        <v>403423.34</v>
      </c>
      <c r="D311">
        <v>0</v>
      </c>
      <c r="E311">
        <v>86.96</v>
      </c>
      <c r="F311">
        <v>3.637</v>
      </c>
      <c r="G311">
        <v>218.35517479999999</v>
      </c>
      <c r="H311">
        <v>7.5739999999999998</v>
      </c>
      <c r="I311" t="str">
        <f>IF(Cleaned_Data[[#This Row],[Holiday_Flag]]=1,"Holiday","Non-Holiday")</f>
        <v>Non-Holiday</v>
      </c>
    </row>
    <row r="312" spans="1:9" x14ac:dyDescent="0.35">
      <c r="A312">
        <v>3</v>
      </c>
      <c r="B312" s="1">
        <v>40718</v>
      </c>
      <c r="C312">
        <v>385520.71</v>
      </c>
      <c r="D312">
        <v>0</v>
      </c>
      <c r="E312">
        <v>84.94</v>
      </c>
      <c r="F312">
        <v>3.5939999999999999</v>
      </c>
      <c r="G312">
        <v>218.45094</v>
      </c>
      <c r="H312">
        <v>7.5739999999999998</v>
      </c>
      <c r="I312" t="str">
        <f>IF(Cleaned_Data[[#This Row],[Holiday_Flag]]=1,"Holiday","Non-Holiday")</f>
        <v>Non-Holiday</v>
      </c>
    </row>
    <row r="313" spans="1:9" x14ac:dyDescent="0.35">
      <c r="A313">
        <v>3</v>
      </c>
      <c r="B313" s="1">
        <v>40550</v>
      </c>
      <c r="C313">
        <v>368962.72</v>
      </c>
      <c r="D313">
        <v>0</v>
      </c>
      <c r="E313">
        <v>85.1</v>
      </c>
      <c r="F313">
        <v>3.524</v>
      </c>
      <c r="G313">
        <v>218.54670519999999</v>
      </c>
      <c r="H313">
        <v>7.5670000000000002</v>
      </c>
      <c r="I313" t="str">
        <f>IF(Cleaned_Data[[#This Row],[Holiday_Flag]]=1,"Holiday","Non-Holiday")</f>
        <v>Non-Holiday</v>
      </c>
    </row>
    <row r="314" spans="1:9" x14ac:dyDescent="0.35">
      <c r="A314">
        <v>3</v>
      </c>
      <c r="B314" s="1">
        <v>40762</v>
      </c>
      <c r="C314">
        <v>395146.23999999999</v>
      </c>
      <c r="D314">
        <v>0</v>
      </c>
      <c r="E314">
        <v>85.38</v>
      </c>
      <c r="F314">
        <v>3.48</v>
      </c>
      <c r="G314">
        <v>218.64247040000001</v>
      </c>
      <c r="H314">
        <v>7.5670000000000002</v>
      </c>
      <c r="I314" t="str">
        <f>IF(Cleaned_Data[[#This Row],[Holiday_Flag]]=1,"Holiday","Non-Holiday")</f>
        <v>Non-Holiday</v>
      </c>
    </row>
    <row r="315" spans="1:9" x14ac:dyDescent="0.35">
      <c r="A315">
        <v>3</v>
      </c>
      <c r="B315" s="1">
        <v>40739</v>
      </c>
      <c r="C315">
        <v>373454.33</v>
      </c>
      <c r="D315">
        <v>0</v>
      </c>
      <c r="E315">
        <v>87.14</v>
      </c>
      <c r="F315">
        <v>3.5750000000000002</v>
      </c>
      <c r="G315">
        <v>218.72752159999999</v>
      </c>
      <c r="H315">
        <v>7.5670000000000002</v>
      </c>
      <c r="I315" t="str">
        <f>IF(Cleaned_Data[[#This Row],[Holiday_Flag]]=1,"Holiday","Non-Holiday")</f>
        <v>Non-Holiday</v>
      </c>
    </row>
    <row r="316" spans="1:9" x14ac:dyDescent="0.35">
      <c r="A316">
        <v>3</v>
      </c>
      <c r="B316" s="1">
        <v>40746</v>
      </c>
      <c r="C316">
        <v>360617.37</v>
      </c>
      <c r="D316">
        <v>0</v>
      </c>
      <c r="E316">
        <v>86.19</v>
      </c>
      <c r="F316">
        <v>3.6509999999999998</v>
      </c>
      <c r="G316">
        <v>218.78578809999999</v>
      </c>
      <c r="H316">
        <v>7.5670000000000002</v>
      </c>
      <c r="I316" t="str">
        <f>IF(Cleaned_Data[[#This Row],[Holiday_Flag]]=1,"Holiday","Non-Holiday")</f>
        <v>Non-Holiday</v>
      </c>
    </row>
    <row r="317" spans="1:9" x14ac:dyDescent="0.35">
      <c r="A317">
        <v>3</v>
      </c>
      <c r="B317" s="1">
        <v>40753</v>
      </c>
      <c r="C317">
        <v>345381.29</v>
      </c>
      <c r="D317">
        <v>0</v>
      </c>
      <c r="E317">
        <v>88.07</v>
      </c>
      <c r="F317">
        <v>3.6819999999999999</v>
      </c>
      <c r="G317">
        <v>218.8440545</v>
      </c>
      <c r="H317">
        <v>7.5670000000000002</v>
      </c>
      <c r="I317" t="str">
        <f>IF(Cleaned_Data[[#This Row],[Holiday_Flag]]=1,"Holiday","Non-Holiday")</f>
        <v>Non-Holiday</v>
      </c>
    </row>
    <row r="318" spans="1:9" x14ac:dyDescent="0.35">
      <c r="A318">
        <v>3</v>
      </c>
      <c r="B318" s="1">
        <v>40671</v>
      </c>
      <c r="C318">
        <v>409981.25</v>
      </c>
      <c r="D318">
        <v>0</v>
      </c>
      <c r="E318">
        <v>88.45</v>
      </c>
      <c r="F318">
        <v>3.6840000000000002</v>
      </c>
      <c r="G318">
        <v>218.90232090000001</v>
      </c>
      <c r="H318">
        <v>7.5670000000000002</v>
      </c>
      <c r="I318" t="str">
        <f>IF(Cleaned_Data[[#This Row],[Holiday_Flag]]=1,"Holiday","Non-Holiday")</f>
        <v>Non-Holiday</v>
      </c>
    </row>
    <row r="319" spans="1:9" x14ac:dyDescent="0.35">
      <c r="A319">
        <v>3</v>
      </c>
      <c r="B319" s="1">
        <v>40885</v>
      </c>
      <c r="C319">
        <v>380376.85</v>
      </c>
      <c r="D319">
        <v>0</v>
      </c>
      <c r="E319">
        <v>88.88</v>
      </c>
      <c r="F319">
        <v>3.6379999999999999</v>
      </c>
      <c r="G319">
        <v>218.96058729999999</v>
      </c>
      <c r="H319">
        <v>7.5670000000000002</v>
      </c>
      <c r="I319" t="str">
        <f>IF(Cleaned_Data[[#This Row],[Holiday_Flag]]=1,"Holiday","Non-Holiday")</f>
        <v>Non-Holiday</v>
      </c>
    </row>
    <row r="320" spans="1:9" x14ac:dyDescent="0.35">
      <c r="A320">
        <v>3</v>
      </c>
      <c r="B320" s="1">
        <v>40774</v>
      </c>
      <c r="C320">
        <v>379716.91</v>
      </c>
      <c r="D320">
        <v>0</v>
      </c>
      <c r="E320">
        <v>88.44</v>
      </c>
      <c r="F320">
        <v>3.5539999999999998</v>
      </c>
      <c r="G320">
        <v>219.02327099999999</v>
      </c>
      <c r="H320">
        <v>7.5670000000000002</v>
      </c>
      <c r="I320" t="str">
        <f>IF(Cleaned_Data[[#This Row],[Holiday_Flag]]=1,"Holiday","Non-Holiday")</f>
        <v>Non-Holiday</v>
      </c>
    </row>
    <row r="321" spans="1:9" x14ac:dyDescent="0.35">
      <c r="A321">
        <v>3</v>
      </c>
      <c r="B321" s="1">
        <v>40781</v>
      </c>
      <c r="C321">
        <v>366367.55</v>
      </c>
      <c r="D321">
        <v>0</v>
      </c>
      <c r="E321">
        <v>87.67</v>
      </c>
      <c r="F321">
        <v>3.5230000000000001</v>
      </c>
      <c r="G321">
        <v>219.08669080000001</v>
      </c>
      <c r="H321">
        <v>7.5670000000000002</v>
      </c>
      <c r="I321" t="str">
        <f>IF(Cleaned_Data[[#This Row],[Holiday_Flag]]=1,"Holiday","Non-Holiday")</f>
        <v>Non-Holiday</v>
      </c>
    </row>
    <row r="322" spans="1:9" x14ac:dyDescent="0.35">
      <c r="A322">
        <v>3</v>
      </c>
      <c r="B322" s="1">
        <v>40583</v>
      </c>
      <c r="C322">
        <v>375988.69</v>
      </c>
      <c r="D322">
        <v>0</v>
      </c>
      <c r="E322">
        <v>89.12</v>
      </c>
      <c r="F322">
        <v>3.5329999999999999</v>
      </c>
      <c r="G322">
        <v>219.1501106</v>
      </c>
      <c r="H322">
        <v>7.5670000000000002</v>
      </c>
      <c r="I322" t="str">
        <f>IF(Cleaned_Data[[#This Row],[Holiday_Flag]]=1,"Holiday","Non-Holiday")</f>
        <v>Non-Holiday</v>
      </c>
    </row>
    <row r="323" spans="1:9" x14ac:dyDescent="0.35">
      <c r="A323">
        <v>3</v>
      </c>
      <c r="B323" s="1">
        <v>40795</v>
      </c>
      <c r="C323">
        <v>377347.49</v>
      </c>
      <c r="D323">
        <v>1</v>
      </c>
      <c r="E323">
        <v>81.72</v>
      </c>
      <c r="F323">
        <v>3.5459999999999998</v>
      </c>
      <c r="G323">
        <v>219.21353049999999</v>
      </c>
      <c r="H323">
        <v>7.5670000000000002</v>
      </c>
      <c r="I323" t="str">
        <f>IF(Cleaned_Data[[#This Row],[Holiday_Flag]]=1,"Holiday","Non-Holiday")</f>
        <v>Holiday</v>
      </c>
    </row>
    <row r="324" spans="1:9" x14ac:dyDescent="0.35">
      <c r="A324">
        <v>3</v>
      </c>
      <c r="B324" s="1">
        <v>40802</v>
      </c>
      <c r="C324">
        <v>375629.51</v>
      </c>
      <c r="D324">
        <v>0</v>
      </c>
      <c r="E324">
        <v>83.63</v>
      </c>
      <c r="F324">
        <v>3.5259999999999998</v>
      </c>
      <c r="G324">
        <v>219.3972867</v>
      </c>
      <c r="H324">
        <v>7.5670000000000002</v>
      </c>
      <c r="I324" t="str">
        <f>IF(Cleaned_Data[[#This Row],[Holiday_Flag]]=1,"Holiday","Non-Holiday")</f>
        <v>Non-Holiday</v>
      </c>
    </row>
    <row r="325" spans="1:9" x14ac:dyDescent="0.35">
      <c r="A325">
        <v>3</v>
      </c>
      <c r="B325" s="1">
        <v>40809</v>
      </c>
      <c r="C325">
        <v>365248.94</v>
      </c>
      <c r="D325">
        <v>0</v>
      </c>
      <c r="E325">
        <v>80.19</v>
      </c>
      <c r="F325">
        <v>3.4670000000000001</v>
      </c>
      <c r="G325">
        <v>219.7414914</v>
      </c>
      <c r="H325">
        <v>7.5670000000000002</v>
      </c>
      <c r="I325" t="str">
        <f>IF(Cleaned_Data[[#This Row],[Holiday_Flag]]=1,"Holiday","Non-Holiday")</f>
        <v>Non-Holiday</v>
      </c>
    </row>
    <row r="326" spans="1:9" x14ac:dyDescent="0.35">
      <c r="A326">
        <v>3</v>
      </c>
      <c r="B326" s="1">
        <v>40816</v>
      </c>
      <c r="C326">
        <v>368477.93</v>
      </c>
      <c r="D326">
        <v>0</v>
      </c>
      <c r="E326">
        <v>82.58</v>
      </c>
      <c r="F326">
        <v>3.355</v>
      </c>
      <c r="G326">
        <v>220.08569600000001</v>
      </c>
      <c r="H326">
        <v>7.5670000000000002</v>
      </c>
      <c r="I326" t="str">
        <f>IF(Cleaned_Data[[#This Row],[Holiday_Flag]]=1,"Holiday","Non-Holiday")</f>
        <v>Non-Holiday</v>
      </c>
    </row>
    <row r="327" spans="1:9" x14ac:dyDescent="0.35">
      <c r="A327">
        <v>3</v>
      </c>
      <c r="B327" s="1">
        <v>40830</v>
      </c>
      <c r="C327">
        <v>368282.57</v>
      </c>
      <c r="D327">
        <v>0</v>
      </c>
      <c r="E327">
        <v>73.75</v>
      </c>
      <c r="F327">
        <v>3.274</v>
      </c>
      <c r="G327">
        <v>220.74861670000001</v>
      </c>
      <c r="H327">
        <v>7.1970000000000001</v>
      </c>
      <c r="I327" t="str">
        <f>IF(Cleaned_Data[[#This Row],[Holiday_Flag]]=1,"Holiday","Non-Holiday")</f>
        <v>Non-Holiday</v>
      </c>
    </row>
    <row r="328" spans="1:9" x14ac:dyDescent="0.35">
      <c r="A328">
        <v>3</v>
      </c>
      <c r="B328" s="1">
        <v>40837</v>
      </c>
      <c r="C328">
        <v>394976.36</v>
      </c>
      <c r="D328">
        <v>0</v>
      </c>
      <c r="E328">
        <v>69.03</v>
      </c>
      <c r="F328">
        <v>3.3530000000000002</v>
      </c>
      <c r="G328">
        <v>220.9144005</v>
      </c>
      <c r="H328">
        <v>7.1970000000000001</v>
      </c>
      <c r="I328" t="str">
        <f>IF(Cleaned_Data[[#This Row],[Holiday_Flag]]=1,"Holiday","Non-Holiday")</f>
        <v>Non-Holiday</v>
      </c>
    </row>
    <row r="329" spans="1:9" x14ac:dyDescent="0.35">
      <c r="A329">
        <v>3</v>
      </c>
      <c r="B329" s="1">
        <v>40844</v>
      </c>
      <c r="C329">
        <v>389540.62</v>
      </c>
      <c r="D329">
        <v>0</v>
      </c>
      <c r="E329">
        <v>71.040000000000006</v>
      </c>
      <c r="F329">
        <v>3.3719999999999999</v>
      </c>
      <c r="G329">
        <v>221.08018419999999</v>
      </c>
      <c r="H329">
        <v>7.1970000000000001</v>
      </c>
      <c r="I329" t="str">
        <f>IF(Cleaned_Data[[#This Row],[Holiday_Flag]]=1,"Holiday","Non-Holiday")</f>
        <v>Non-Holiday</v>
      </c>
    </row>
    <row r="330" spans="1:9" x14ac:dyDescent="0.35">
      <c r="A330">
        <v>3</v>
      </c>
      <c r="B330" s="1">
        <v>40644</v>
      </c>
      <c r="C330">
        <v>459443.22</v>
      </c>
      <c r="D330">
        <v>0</v>
      </c>
      <c r="E330">
        <v>59.31</v>
      </c>
      <c r="F330">
        <v>3.3319999999999999</v>
      </c>
      <c r="G330">
        <v>221.245968</v>
      </c>
      <c r="H330">
        <v>7.1970000000000001</v>
      </c>
      <c r="I330" t="str">
        <f>IF(Cleaned_Data[[#This Row],[Holiday_Flag]]=1,"Holiday","Non-Holiday")</f>
        <v>Non-Holiday</v>
      </c>
    </row>
    <row r="331" spans="1:9" x14ac:dyDescent="0.35">
      <c r="A331">
        <v>3</v>
      </c>
      <c r="B331" s="1">
        <v>40858</v>
      </c>
      <c r="C331">
        <v>407764.25</v>
      </c>
      <c r="D331">
        <v>0</v>
      </c>
      <c r="E331">
        <v>61.7</v>
      </c>
      <c r="F331">
        <v>3.2970000000000002</v>
      </c>
      <c r="G331">
        <v>221.4117517</v>
      </c>
      <c r="H331">
        <v>7.1970000000000001</v>
      </c>
      <c r="I331" t="str">
        <f>IF(Cleaned_Data[[#This Row],[Holiday_Flag]]=1,"Holiday","Non-Holiday")</f>
        <v>Non-Holiday</v>
      </c>
    </row>
    <row r="332" spans="1:9" x14ac:dyDescent="0.35">
      <c r="A332">
        <v>3</v>
      </c>
      <c r="B332" s="1">
        <v>40865</v>
      </c>
      <c r="C332">
        <v>398838.97</v>
      </c>
      <c r="D332">
        <v>0</v>
      </c>
      <c r="E332">
        <v>63.91</v>
      </c>
      <c r="F332">
        <v>3.3079999999999998</v>
      </c>
      <c r="G332">
        <v>221.64328520000001</v>
      </c>
      <c r="H332">
        <v>7.1970000000000001</v>
      </c>
      <c r="I332" t="str">
        <f>IF(Cleaned_Data[[#This Row],[Holiday_Flag]]=1,"Holiday","Non-Holiday")</f>
        <v>Non-Holiday</v>
      </c>
    </row>
    <row r="333" spans="1:9" x14ac:dyDescent="0.35">
      <c r="A333">
        <v>3</v>
      </c>
      <c r="B333" s="1">
        <v>40872</v>
      </c>
      <c r="C333">
        <v>556925.18999999994</v>
      </c>
      <c r="D333">
        <v>1</v>
      </c>
      <c r="E333">
        <v>68</v>
      </c>
      <c r="F333">
        <v>3.2360000000000002</v>
      </c>
      <c r="G333">
        <v>221.9011185</v>
      </c>
      <c r="H333">
        <v>7.1970000000000001</v>
      </c>
      <c r="I333" t="str">
        <f>IF(Cleaned_Data[[#This Row],[Holiday_Flag]]=1,"Holiday","Non-Holiday")</f>
        <v>Holiday</v>
      </c>
    </row>
    <row r="334" spans="1:9" x14ac:dyDescent="0.35">
      <c r="A334">
        <v>3</v>
      </c>
      <c r="B334" s="1">
        <v>40586</v>
      </c>
      <c r="C334">
        <v>472511.32</v>
      </c>
      <c r="D334">
        <v>0</v>
      </c>
      <c r="E334">
        <v>54.97</v>
      </c>
      <c r="F334">
        <v>3.1720000000000002</v>
      </c>
      <c r="G334">
        <v>222.15895190000001</v>
      </c>
      <c r="H334">
        <v>7.1970000000000001</v>
      </c>
      <c r="I334" t="str">
        <f>IF(Cleaned_Data[[#This Row],[Holiday_Flag]]=1,"Holiday","Non-Holiday")</f>
        <v>Non-Holiday</v>
      </c>
    </row>
    <row r="335" spans="1:9" x14ac:dyDescent="0.35">
      <c r="A335">
        <v>3</v>
      </c>
      <c r="B335" s="1">
        <v>40798</v>
      </c>
      <c r="C335">
        <v>468772.8</v>
      </c>
      <c r="D335">
        <v>0</v>
      </c>
      <c r="E335">
        <v>49.26</v>
      </c>
      <c r="F335">
        <v>3.1579999999999999</v>
      </c>
      <c r="G335">
        <v>222.41678519999999</v>
      </c>
      <c r="H335">
        <v>7.1970000000000001</v>
      </c>
      <c r="I335" t="str">
        <f>IF(Cleaned_Data[[#This Row],[Holiday_Flag]]=1,"Holiday","Non-Holiday")</f>
        <v>Non-Holiday</v>
      </c>
    </row>
    <row r="336" spans="1:9" x14ac:dyDescent="0.35">
      <c r="A336">
        <v>3</v>
      </c>
      <c r="B336" s="1">
        <v>40893</v>
      </c>
      <c r="C336">
        <v>510747.62</v>
      </c>
      <c r="D336">
        <v>0</v>
      </c>
      <c r="E336">
        <v>57.95</v>
      </c>
      <c r="F336">
        <v>3.1589999999999998</v>
      </c>
      <c r="G336">
        <v>222.64264180000001</v>
      </c>
      <c r="H336">
        <v>7.1970000000000001</v>
      </c>
      <c r="I336" t="str">
        <f>IF(Cleaned_Data[[#This Row],[Holiday_Flag]]=1,"Holiday","Non-Holiday")</f>
        <v>Non-Holiday</v>
      </c>
    </row>
    <row r="337" spans="1:9" x14ac:dyDescent="0.35">
      <c r="A337">
        <v>3</v>
      </c>
      <c r="B337" s="1">
        <v>40900</v>
      </c>
      <c r="C337">
        <v>551221.21</v>
      </c>
      <c r="D337">
        <v>0</v>
      </c>
      <c r="E337">
        <v>53.41</v>
      </c>
      <c r="F337">
        <v>3.1120000000000001</v>
      </c>
      <c r="G337">
        <v>222.82586280000001</v>
      </c>
      <c r="H337">
        <v>7.1970000000000001</v>
      </c>
      <c r="I337" t="str">
        <f>IF(Cleaned_Data[[#This Row],[Holiday_Flag]]=1,"Holiday","Non-Holiday")</f>
        <v>Non-Holiday</v>
      </c>
    </row>
    <row r="338" spans="1:9" x14ac:dyDescent="0.35">
      <c r="A338">
        <v>3</v>
      </c>
      <c r="B338" s="1">
        <v>40907</v>
      </c>
      <c r="C338">
        <v>410553.88</v>
      </c>
      <c r="D338">
        <v>1</v>
      </c>
      <c r="E338">
        <v>48.29</v>
      </c>
      <c r="F338">
        <v>3.129</v>
      </c>
      <c r="G338">
        <v>223.00908390000001</v>
      </c>
      <c r="H338">
        <v>7.1970000000000001</v>
      </c>
      <c r="I338" t="str">
        <f>IF(Cleaned_Data[[#This Row],[Holiday_Flag]]=1,"Holiday","Non-Holiday")</f>
        <v>Holiday</v>
      </c>
    </row>
    <row r="339" spans="1:9" x14ac:dyDescent="0.35">
      <c r="A339">
        <v>3</v>
      </c>
      <c r="B339" s="1">
        <v>41061</v>
      </c>
      <c r="C339">
        <v>398178.21</v>
      </c>
      <c r="D339">
        <v>0</v>
      </c>
      <c r="E339">
        <v>52.42</v>
      </c>
      <c r="F339">
        <v>3.157</v>
      </c>
      <c r="G339">
        <v>223.19230490000001</v>
      </c>
      <c r="H339">
        <v>6.8330000000000002</v>
      </c>
      <c r="I339" t="str">
        <f>IF(Cleaned_Data[[#This Row],[Holiday_Flag]]=1,"Holiday","Non-Holiday")</f>
        <v>Non-Holiday</v>
      </c>
    </row>
    <row r="340" spans="1:9" x14ac:dyDescent="0.35">
      <c r="A340">
        <v>3</v>
      </c>
      <c r="B340" s="1">
        <v>40921</v>
      </c>
      <c r="C340">
        <v>367438.62</v>
      </c>
      <c r="D340">
        <v>0</v>
      </c>
      <c r="E340">
        <v>51.86</v>
      </c>
      <c r="F340">
        <v>3.2610000000000001</v>
      </c>
      <c r="G340">
        <v>223.37552590000001</v>
      </c>
      <c r="H340">
        <v>6.8330000000000002</v>
      </c>
      <c r="I340" t="str">
        <f>IF(Cleaned_Data[[#This Row],[Holiday_Flag]]=1,"Holiday","Non-Holiday")</f>
        <v>Non-Holiday</v>
      </c>
    </row>
    <row r="341" spans="1:9" x14ac:dyDescent="0.35">
      <c r="A341">
        <v>3</v>
      </c>
      <c r="B341" s="1">
        <v>40928</v>
      </c>
      <c r="C341">
        <v>365818.61</v>
      </c>
      <c r="D341">
        <v>0</v>
      </c>
      <c r="E341">
        <v>56.2</v>
      </c>
      <c r="F341">
        <v>3.2679999999999998</v>
      </c>
      <c r="G341">
        <v>223.47005519999999</v>
      </c>
      <c r="H341">
        <v>6.8330000000000002</v>
      </c>
      <c r="I341" t="str">
        <f>IF(Cleaned_Data[[#This Row],[Holiday_Flag]]=1,"Holiday","Non-Holiday")</f>
        <v>Non-Holiday</v>
      </c>
    </row>
    <row r="342" spans="1:9" x14ac:dyDescent="0.35">
      <c r="A342">
        <v>3</v>
      </c>
      <c r="B342" s="1">
        <v>40935</v>
      </c>
      <c r="C342">
        <v>349518.1</v>
      </c>
      <c r="D342">
        <v>0</v>
      </c>
      <c r="E342">
        <v>58.06</v>
      </c>
      <c r="F342">
        <v>3.29</v>
      </c>
      <c r="G342">
        <v>223.5645845</v>
      </c>
      <c r="H342">
        <v>6.8330000000000002</v>
      </c>
      <c r="I342" t="str">
        <f>IF(Cleaned_Data[[#This Row],[Holiday_Flag]]=1,"Holiday","Non-Holiday")</f>
        <v>Non-Holiday</v>
      </c>
    </row>
    <row r="343" spans="1:9" x14ac:dyDescent="0.35">
      <c r="A343">
        <v>3</v>
      </c>
      <c r="B343" s="1">
        <v>40970</v>
      </c>
      <c r="C343">
        <v>424960.66</v>
      </c>
      <c r="D343">
        <v>0</v>
      </c>
      <c r="E343">
        <v>59.33</v>
      </c>
      <c r="F343">
        <v>3.36</v>
      </c>
      <c r="G343">
        <v>223.65911370000001</v>
      </c>
      <c r="H343">
        <v>6.8330000000000002</v>
      </c>
      <c r="I343" t="str">
        <f>IF(Cleaned_Data[[#This Row],[Holiday_Flag]]=1,"Holiday","Non-Holiday")</f>
        <v>Non-Holiday</v>
      </c>
    </row>
    <row r="344" spans="1:9" x14ac:dyDescent="0.35">
      <c r="A344">
        <v>3</v>
      </c>
      <c r="B344" s="1">
        <v>41184</v>
      </c>
      <c r="C344">
        <v>473292.47</v>
      </c>
      <c r="D344">
        <v>1</v>
      </c>
      <c r="E344">
        <v>51.65</v>
      </c>
      <c r="F344">
        <v>3.4089999999999998</v>
      </c>
      <c r="G344">
        <v>223.75364300000001</v>
      </c>
      <c r="H344">
        <v>6.8330000000000002</v>
      </c>
      <c r="I344" t="str">
        <f>IF(Cleaned_Data[[#This Row],[Holiday_Flag]]=1,"Holiday","Non-Holiday")</f>
        <v>Holiday</v>
      </c>
    </row>
    <row r="345" spans="1:9" x14ac:dyDescent="0.35">
      <c r="A345">
        <v>3</v>
      </c>
      <c r="B345" s="1">
        <v>40956</v>
      </c>
      <c r="C345">
        <v>475591.08</v>
      </c>
      <c r="D345">
        <v>0</v>
      </c>
      <c r="E345">
        <v>52.39</v>
      </c>
      <c r="F345">
        <v>3.51</v>
      </c>
      <c r="G345">
        <v>223.9170153</v>
      </c>
      <c r="H345">
        <v>6.8330000000000002</v>
      </c>
      <c r="I345" t="str">
        <f>IF(Cleaned_Data[[#This Row],[Holiday_Flag]]=1,"Holiday","Non-Holiday")</f>
        <v>Non-Holiday</v>
      </c>
    </row>
    <row r="346" spans="1:9" x14ac:dyDescent="0.35">
      <c r="A346">
        <v>3</v>
      </c>
      <c r="B346" s="1">
        <v>40963</v>
      </c>
      <c r="C346">
        <v>418925.47</v>
      </c>
      <c r="D346">
        <v>0</v>
      </c>
      <c r="E346">
        <v>60.12</v>
      </c>
      <c r="F346">
        <v>3.5550000000000002</v>
      </c>
      <c r="G346">
        <v>224.13201989999999</v>
      </c>
      <c r="H346">
        <v>6.8330000000000002</v>
      </c>
      <c r="I346" t="str">
        <f>IF(Cleaned_Data[[#This Row],[Holiday_Flag]]=1,"Holiday","Non-Holiday")</f>
        <v>Non-Holiday</v>
      </c>
    </row>
    <row r="347" spans="1:9" x14ac:dyDescent="0.35">
      <c r="A347">
        <v>3</v>
      </c>
      <c r="B347" s="1">
        <v>40942</v>
      </c>
      <c r="C347">
        <v>469752.56</v>
      </c>
      <c r="D347">
        <v>0</v>
      </c>
      <c r="E347">
        <v>61.65</v>
      </c>
      <c r="F347">
        <v>3.63</v>
      </c>
      <c r="G347">
        <v>224.3470245</v>
      </c>
      <c r="H347">
        <v>6.8330000000000002</v>
      </c>
      <c r="I347" t="str">
        <f>IF(Cleaned_Data[[#This Row],[Holiday_Flag]]=1,"Holiday","Non-Holiday")</f>
        <v>Non-Holiday</v>
      </c>
    </row>
    <row r="348" spans="1:9" x14ac:dyDescent="0.35">
      <c r="A348">
        <v>3</v>
      </c>
      <c r="B348" s="1">
        <v>41155</v>
      </c>
      <c r="C348">
        <v>445162.05</v>
      </c>
      <c r="D348">
        <v>0</v>
      </c>
      <c r="E348">
        <v>60.71</v>
      </c>
      <c r="F348">
        <v>3.669</v>
      </c>
      <c r="G348">
        <v>224.56202909999999</v>
      </c>
      <c r="H348">
        <v>6.8330000000000002</v>
      </c>
      <c r="I348" t="str">
        <f>IF(Cleaned_Data[[#This Row],[Holiday_Flag]]=1,"Holiday","Non-Holiday")</f>
        <v>Non-Holiday</v>
      </c>
    </row>
    <row r="349" spans="1:9" x14ac:dyDescent="0.35">
      <c r="A349">
        <v>3</v>
      </c>
      <c r="B349" s="1">
        <v>40984</v>
      </c>
      <c r="C349">
        <v>411775.8</v>
      </c>
      <c r="D349">
        <v>0</v>
      </c>
      <c r="E349">
        <v>64</v>
      </c>
      <c r="F349">
        <v>3.734</v>
      </c>
      <c r="G349">
        <v>224.7166953</v>
      </c>
      <c r="H349">
        <v>6.8330000000000002</v>
      </c>
      <c r="I349" t="str">
        <f>IF(Cleaned_Data[[#This Row],[Holiday_Flag]]=1,"Holiday","Non-Holiday")</f>
        <v>Non-Holiday</v>
      </c>
    </row>
    <row r="350" spans="1:9" x14ac:dyDescent="0.35">
      <c r="A350">
        <v>3</v>
      </c>
      <c r="B350" s="1">
        <v>40998</v>
      </c>
      <c r="C350">
        <v>407488.84</v>
      </c>
      <c r="D350">
        <v>0</v>
      </c>
      <c r="E350">
        <v>69.36</v>
      </c>
      <c r="F350">
        <v>3.8450000000000002</v>
      </c>
      <c r="G350">
        <v>224.86512540000001</v>
      </c>
      <c r="H350">
        <v>6.8330000000000002</v>
      </c>
      <c r="I350" t="str">
        <f>IF(Cleaned_Data[[#This Row],[Holiday_Flag]]=1,"Holiday","Non-Holiday")</f>
        <v>Non-Holiday</v>
      </c>
    </row>
    <row r="351" spans="1:9" x14ac:dyDescent="0.35">
      <c r="A351">
        <v>3</v>
      </c>
      <c r="B351" s="1">
        <v>41064</v>
      </c>
      <c r="C351">
        <v>503232.13</v>
      </c>
      <c r="D351">
        <v>0</v>
      </c>
      <c r="E351">
        <v>73.010000000000005</v>
      </c>
      <c r="F351">
        <v>3.891</v>
      </c>
      <c r="G351">
        <v>224.93934049999999</v>
      </c>
      <c r="H351">
        <v>6.6639999999999997</v>
      </c>
      <c r="I351" t="str">
        <f>IF(Cleaned_Data[[#This Row],[Holiday_Flag]]=1,"Holiday","Non-Holiday")</f>
        <v>Non-Holiday</v>
      </c>
    </row>
    <row r="352" spans="1:9" x14ac:dyDescent="0.35">
      <c r="A352">
        <v>1</v>
      </c>
      <c r="B352" s="1">
        <v>40976</v>
      </c>
      <c r="C352">
        <v>1631135.79</v>
      </c>
      <c r="D352">
        <v>0</v>
      </c>
      <c r="E352">
        <v>86.11</v>
      </c>
      <c r="F352">
        <v>3.4169999999999998</v>
      </c>
      <c r="G352">
        <v>221.94986420000001</v>
      </c>
      <c r="H352">
        <v>6.9080000000000004</v>
      </c>
      <c r="I352" t="str">
        <f>IF(Cleaned_Data[[#This Row],[Holiday_Flag]]=1,"Holiday","Non-Holiday")</f>
        <v>Non-Holiday</v>
      </c>
    </row>
    <row r="353" spans="1:9" x14ac:dyDescent="0.35">
      <c r="A353">
        <v>1</v>
      </c>
      <c r="B353" s="1">
        <v>41190</v>
      </c>
      <c r="C353">
        <v>1592409.97</v>
      </c>
      <c r="D353">
        <v>0</v>
      </c>
      <c r="E353">
        <v>85.05</v>
      </c>
      <c r="F353">
        <v>3.4940000000000002</v>
      </c>
      <c r="G353">
        <v>221.95843289999999</v>
      </c>
      <c r="H353">
        <v>6.9080000000000004</v>
      </c>
      <c r="I353" t="str">
        <f>IF(Cleaned_Data[[#This Row],[Holiday_Flag]]=1,"Holiday","Non-Holiday")</f>
        <v>Non-Holiday</v>
      </c>
    </row>
    <row r="354" spans="1:9" x14ac:dyDescent="0.35">
      <c r="A354">
        <v>1</v>
      </c>
      <c r="B354" s="1">
        <v>41138</v>
      </c>
      <c r="C354">
        <v>1597868.05</v>
      </c>
      <c r="D354">
        <v>0</v>
      </c>
      <c r="E354">
        <v>84.85</v>
      </c>
      <c r="F354">
        <v>3.5710000000000002</v>
      </c>
      <c r="G354">
        <v>222.0384109</v>
      </c>
      <c r="H354">
        <v>6.9080000000000004</v>
      </c>
      <c r="I354" t="str">
        <f>IF(Cleaned_Data[[#This Row],[Holiday_Flag]]=1,"Holiday","Non-Holiday")</f>
        <v>Non-Holiday</v>
      </c>
    </row>
    <row r="355" spans="1:9" x14ac:dyDescent="0.35">
      <c r="A355">
        <v>1</v>
      </c>
      <c r="B355" s="1">
        <v>41145</v>
      </c>
      <c r="C355">
        <v>1494122.38</v>
      </c>
      <c r="D355">
        <v>0</v>
      </c>
      <c r="E355">
        <v>77.66</v>
      </c>
      <c r="F355">
        <v>3.62</v>
      </c>
      <c r="G355">
        <v>222.17194570000001</v>
      </c>
      <c r="H355">
        <v>6.9080000000000004</v>
      </c>
      <c r="I355" t="str">
        <f>IF(Cleaned_Data[[#This Row],[Holiday_Flag]]=1,"Holiday","Non-Holiday")</f>
        <v>Non-Holiday</v>
      </c>
    </row>
    <row r="356" spans="1:9" x14ac:dyDescent="0.35">
      <c r="A356">
        <v>1</v>
      </c>
      <c r="B356" s="1">
        <v>41152</v>
      </c>
      <c r="C356">
        <v>1582083.4</v>
      </c>
      <c r="D356">
        <v>0</v>
      </c>
      <c r="E356">
        <v>80.489999999999995</v>
      </c>
      <c r="F356">
        <v>3.6379999999999999</v>
      </c>
      <c r="G356">
        <v>222.30548049999999</v>
      </c>
      <c r="H356">
        <v>6.9080000000000004</v>
      </c>
      <c r="I356" t="str">
        <f>IF(Cleaned_Data[[#This Row],[Holiday_Flag]]=1,"Holiday","Non-Holiday")</f>
        <v>Non-Holiday</v>
      </c>
    </row>
    <row r="357" spans="1:9" x14ac:dyDescent="0.35">
      <c r="A357">
        <v>1</v>
      </c>
      <c r="B357" s="1">
        <v>41099</v>
      </c>
      <c r="C357">
        <v>1661767.33</v>
      </c>
      <c r="D357">
        <v>1</v>
      </c>
      <c r="E357">
        <v>83.96</v>
      </c>
      <c r="F357">
        <v>3.73</v>
      </c>
      <c r="G357">
        <v>222.43901529999999</v>
      </c>
      <c r="H357">
        <v>6.9080000000000004</v>
      </c>
      <c r="I357" t="str">
        <f>IF(Cleaned_Data[[#This Row],[Holiday_Flag]]=1,"Holiday","Non-Holiday")</f>
        <v>Holiday</v>
      </c>
    </row>
    <row r="358" spans="1:9" x14ac:dyDescent="0.35">
      <c r="A358">
        <v>1</v>
      </c>
      <c r="B358" s="1">
        <v>41166</v>
      </c>
      <c r="C358">
        <v>1517428.87</v>
      </c>
      <c r="D358">
        <v>0</v>
      </c>
      <c r="E358">
        <v>74.97</v>
      </c>
      <c r="F358">
        <v>3.7170000000000001</v>
      </c>
      <c r="G358">
        <v>222.58201930000001</v>
      </c>
      <c r="H358">
        <v>6.9080000000000004</v>
      </c>
      <c r="I358" t="str">
        <f>IF(Cleaned_Data[[#This Row],[Holiday_Flag]]=1,"Holiday","Non-Holiday")</f>
        <v>Non-Holiday</v>
      </c>
    </row>
    <row r="359" spans="1:9" x14ac:dyDescent="0.35">
      <c r="A359">
        <v>1</v>
      </c>
      <c r="B359" s="1">
        <v>41173</v>
      </c>
      <c r="C359">
        <v>1506126.06</v>
      </c>
      <c r="D359">
        <v>0</v>
      </c>
      <c r="E359">
        <v>69.87</v>
      </c>
      <c r="F359">
        <v>3.7210000000000001</v>
      </c>
      <c r="G359">
        <v>222.78183859999999</v>
      </c>
      <c r="H359">
        <v>6.9080000000000004</v>
      </c>
      <c r="I359" t="str">
        <f>IF(Cleaned_Data[[#This Row],[Holiday_Flag]]=1,"Holiday","Non-Holiday")</f>
        <v>Non-Holiday</v>
      </c>
    </row>
    <row r="360" spans="1:9" x14ac:dyDescent="0.35">
      <c r="A360">
        <v>1</v>
      </c>
      <c r="B360" s="1">
        <v>41180</v>
      </c>
      <c r="C360">
        <v>1437059.26</v>
      </c>
      <c r="D360">
        <v>0</v>
      </c>
      <c r="E360">
        <v>76.08</v>
      </c>
      <c r="F360">
        <v>3.6659999999999999</v>
      </c>
      <c r="G360">
        <v>222.98165789999999</v>
      </c>
      <c r="H360">
        <v>6.9080000000000004</v>
      </c>
      <c r="I360" t="str">
        <f>IF(Cleaned_Data[[#This Row],[Holiday_Flag]]=1,"Holiday","Non-Holiday")</f>
        <v>Non-Holiday</v>
      </c>
    </row>
    <row r="361" spans="1:9" x14ac:dyDescent="0.35">
      <c r="A361">
        <v>1</v>
      </c>
      <c r="B361" s="1">
        <v>41039</v>
      </c>
      <c r="C361">
        <v>1670785.97</v>
      </c>
      <c r="D361">
        <v>0</v>
      </c>
      <c r="E361">
        <v>68.55</v>
      </c>
      <c r="F361">
        <v>3.617</v>
      </c>
      <c r="G361">
        <v>223.18147719999999</v>
      </c>
      <c r="H361">
        <v>6.5730000000000004</v>
      </c>
      <c r="I361" t="str">
        <f>IF(Cleaned_Data[[#This Row],[Holiday_Flag]]=1,"Holiday","Non-Holiday")</f>
        <v>Non-Holiday</v>
      </c>
    </row>
    <row r="362" spans="1:9" x14ac:dyDescent="0.35">
      <c r="A362">
        <v>1</v>
      </c>
      <c r="B362" s="1">
        <v>41253</v>
      </c>
      <c r="C362">
        <v>1573072.81</v>
      </c>
      <c r="D362">
        <v>0</v>
      </c>
      <c r="E362">
        <v>62.99</v>
      </c>
      <c r="F362">
        <v>3.601</v>
      </c>
      <c r="G362">
        <v>223.38129649999999</v>
      </c>
      <c r="H362">
        <v>6.5730000000000004</v>
      </c>
      <c r="I362" t="str">
        <f>IF(Cleaned_Data[[#This Row],[Holiday_Flag]]=1,"Holiday","Non-Holiday")</f>
        <v>Non-Holiday</v>
      </c>
    </row>
    <row r="363" spans="1:9" x14ac:dyDescent="0.35">
      <c r="A363">
        <v>2</v>
      </c>
      <c r="B363" s="1">
        <v>40400</v>
      </c>
      <c r="C363">
        <v>1849921.44</v>
      </c>
      <c r="D363">
        <v>0</v>
      </c>
      <c r="E363">
        <v>63.19</v>
      </c>
      <c r="F363">
        <v>2.633</v>
      </c>
      <c r="G363">
        <v>211.4044906</v>
      </c>
      <c r="H363">
        <v>8.1630000000000003</v>
      </c>
      <c r="I363" t="str">
        <f>IF(Cleaned_Data[[#This Row],[Holiday_Flag]]=1,"Holiday","Non-Holiday")</f>
        <v>Non-Holiday</v>
      </c>
    </row>
    <row r="364" spans="1:9" x14ac:dyDescent="0.35">
      <c r="A364">
        <v>2</v>
      </c>
      <c r="B364" s="1">
        <v>40466</v>
      </c>
      <c r="C364">
        <v>1794355.49</v>
      </c>
      <c r="D364">
        <v>0</v>
      </c>
      <c r="E364">
        <v>65.8</v>
      </c>
      <c r="F364">
        <v>2.72</v>
      </c>
      <c r="G364">
        <v>211.47132859999999</v>
      </c>
      <c r="H364">
        <v>8.1630000000000003</v>
      </c>
      <c r="I364" t="str">
        <f>IF(Cleaned_Data[[#This Row],[Holiday_Flag]]=1,"Holiday","Non-Holiday")</f>
        <v>Non-Holiday</v>
      </c>
    </row>
    <row r="365" spans="1:9" x14ac:dyDescent="0.35">
      <c r="A365">
        <v>2</v>
      </c>
      <c r="B365" s="1">
        <v>40473</v>
      </c>
      <c r="C365">
        <v>1737947.64</v>
      </c>
      <c r="D365">
        <v>0</v>
      </c>
      <c r="E365">
        <v>68.5</v>
      </c>
      <c r="F365">
        <v>2.7250000000000001</v>
      </c>
      <c r="G365">
        <v>211.51872080000001</v>
      </c>
      <c r="H365">
        <v>8.1630000000000003</v>
      </c>
      <c r="I365" t="str">
        <f>IF(Cleaned_Data[[#This Row],[Holiday_Flag]]=1,"Holiday","Non-Holiday")</f>
        <v>Non-Holiday</v>
      </c>
    </row>
    <row r="366" spans="1:9" x14ac:dyDescent="0.35">
      <c r="A366">
        <v>2</v>
      </c>
      <c r="B366" s="1">
        <v>40480</v>
      </c>
      <c r="C366">
        <v>1802755.11</v>
      </c>
      <c r="D366">
        <v>0</v>
      </c>
      <c r="E366">
        <v>66.239999999999995</v>
      </c>
      <c r="F366">
        <v>2.7160000000000002</v>
      </c>
      <c r="G366">
        <v>211.5661131</v>
      </c>
      <c r="H366">
        <v>8.1630000000000003</v>
      </c>
      <c r="I366" t="str">
        <f>IF(Cleaned_Data[[#This Row],[Holiday_Flag]]=1,"Holiday","Non-Holiday")</f>
        <v>Non-Holiday</v>
      </c>
    </row>
    <row r="367" spans="1:9" x14ac:dyDescent="0.35">
      <c r="A367">
        <v>2</v>
      </c>
      <c r="B367" s="1">
        <v>40309</v>
      </c>
      <c r="C367">
        <v>1939061.41</v>
      </c>
      <c r="D367">
        <v>0</v>
      </c>
      <c r="E367">
        <v>57.85</v>
      </c>
      <c r="F367">
        <v>2.6890000000000001</v>
      </c>
      <c r="G367">
        <v>211.61350530000001</v>
      </c>
      <c r="H367">
        <v>8.1630000000000003</v>
      </c>
      <c r="I367" t="str">
        <f>IF(Cleaned_Data[[#This Row],[Holiday_Flag]]=1,"Holiday","Non-Holiday")</f>
        <v>Non-Holiday</v>
      </c>
    </row>
    <row r="368" spans="1:9" x14ac:dyDescent="0.35">
      <c r="A368">
        <v>2</v>
      </c>
      <c r="B368" s="1">
        <v>40523</v>
      </c>
      <c r="C368">
        <v>1916812.74</v>
      </c>
      <c r="D368">
        <v>0</v>
      </c>
      <c r="E368">
        <v>59.69</v>
      </c>
      <c r="F368">
        <v>2.7280000000000002</v>
      </c>
      <c r="G368">
        <v>211.6608975</v>
      </c>
      <c r="H368">
        <v>8.1630000000000003</v>
      </c>
      <c r="I368" t="str">
        <f>IF(Cleaned_Data[[#This Row],[Holiday_Flag]]=1,"Holiday","Non-Holiday")</f>
        <v>Non-Holiday</v>
      </c>
    </row>
    <row r="369" spans="1:9" x14ac:dyDescent="0.35">
      <c r="A369">
        <v>2</v>
      </c>
      <c r="B369" s="1">
        <v>40501</v>
      </c>
      <c r="C369">
        <v>1956739.17</v>
      </c>
      <c r="D369">
        <v>0</v>
      </c>
      <c r="E369">
        <v>50.81</v>
      </c>
      <c r="F369">
        <v>2.7709999999999999</v>
      </c>
      <c r="G369">
        <v>211.54703040000001</v>
      </c>
      <c r="H369">
        <v>8.1630000000000003</v>
      </c>
      <c r="I369" t="str">
        <f>IF(Cleaned_Data[[#This Row],[Holiday_Flag]]=1,"Holiday","Non-Holiday")</f>
        <v>Non-Holiday</v>
      </c>
    </row>
    <row r="370" spans="1:9" x14ac:dyDescent="0.35">
      <c r="A370">
        <v>2</v>
      </c>
      <c r="B370" s="1">
        <v>40508</v>
      </c>
      <c r="C370">
        <v>2658725.29</v>
      </c>
      <c r="D370">
        <v>1</v>
      </c>
      <c r="E370">
        <v>62.98</v>
      </c>
      <c r="F370">
        <v>2.7349999999999999</v>
      </c>
      <c r="G370">
        <v>211.40628670000001</v>
      </c>
      <c r="H370">
        <v>8.1630000000000003</v>
      </c>
      <c r="I370" t="str">
        <f>IF(Cleaned_Data[[#This Row],[Holiday_Flag]]=1,"Holiday","Non-Holiday")</f>
        <v>Holiday</v>
      </c>
    </row>
    <row r="371" spans="1:9" x14ac:dyDescent="0.35">
      <c r="A371">
        <v>2</v>
      </c>
      <c r="B371" s="1">
        <v>40249</v>
      </c>
      <c r="C371">
        <v>2015781.27</v>
      </c>
      <c r="D371">
        <v>0</v>
      </c>
      <c r="E371">
        <v>49.33</v>
      </c>
      <c r="F371">
        <v>2.7080000000000002</v>
      </c>
      <c r="G371">
        <v>211.26554300000001</v>
      </c>
      <c r="H371">
        <v>8.1630000000000003</v>
      </c>
      <c r="I371" t="str">
        <f>IF(Cleaned_Data[[#This Row],[Holiday_Flag]]=1,"Holiday","Non-Holiday")</f>
        <v>Non-Holiday</v>
      </c>
    </row>
    <row r="372" spans="1:9" x14ac:dyDescent="0.35">
      <c r="A372">
        <v>2</v>
      </c>
      <c r="B372" s="1">
        <v>40463</v>
      </c>
      <c r="C372">
        <v>2378726.5499999998</v>
      </c>
      <c r="D372">
        <v>0</v>
      </c>
      <c r="E372">
        <v>45.5</v>
      </c>
      <c r="F372">
        <v>2.843</v>
      </c>
      <c r="G372">
        <v>211.12479930000001</v>
      </c>
      <c r="H372">
        <v>8.1630000000000003</v>
      </c>
      <c r="I372" t="str">
        <f>IF(Cleaned_Data[[#This Row],[Holiday_Flag]]=1,"Holiday","Non-Holiday")</f>
        <v>Non-Holiday</v>
      </c>
    </row>
    <row r="373" spans="1:9" x14ac:dyDescent="0.35">
      <c r="A373">
        <v>2</v>
      </c>
      <c r="B373" s="1">
        <v>40529</v>
      </c>
      <c r="C373">
        <v>2609166.75</v>
      </c>
      <c r="D373">
        <v>0</v>
      </c>
      <c r="E373">
        <v>47.55</v>
      </c>
      <c r="F373">
        <v>2.8690000000000002</v>
      </c>
      <c r="G373">
        <v>211.06454579999999</v>
      </c>
      <c r="H373">
        <v>8.1630000000000003</v>
      </c>
      <c r="I373" t="str">
        <f>IF(Cleaned_Data[[#This Row],[Holiday_Flag]]=1,"Holiday","Non-Holiday")</f>
        <v>Non-Holiday</v>
      </c>
    </row>
    <row r="374" spans="1:9" x14ac:dyDescent="0.35">
      <c r="A374">
        <v>3</v>
      </c>
      <c r="B374" s="1">
        <v>40347</v>
      </c>
      <c r="C374">
        <v>364076.85</v>
      </c>
      <c r="D374">
        <v>0</v>
      </c>
      <c r="E374">
        <v>83.52</v>
      </c>
      <c r="F374">
        <v>2.637</v>
      </c>
      <c r="G374">
        <v>214.78582589999999</v>
      </c>
      <c r="H374">
        <v>7.343</v>
      </c>
      <c r="I374" t="str">
        <f>IF(Cleaned_Data[[#This Row],[Holiday_Flag]]=1,"Holiday","Non-Holiday")</f>
        <v>Non-Holiday</v>
      </c>
    </row>
    <row r="375" spans="1:9" x14ac:dyDescent="0.35">
      <c r="A375">
        <v>3</v>
      </c>
      <c r="B375" s="1">
        <v>40354</v>
      </c>
      <c r="C375">
        <v>357346.48</v>
      </c>
      <c r="D375">
        <v>0</v>
      </c>
      <c r="E375">
        <v>83.79</v>
      </c>
      <c r="F375">
        <v>2.653</v>
      </c>
      <c r="G375">
        <v>214.6660741</v>
      </c>
      <c r="H375">
        <v>7.343</v>
      </c>
      <c r="I375" t="str">
        <f>IF(Cleaned_Data[[#This Row],[Holiday_Flag]]=1,"Holiday","Non-Holiday")</f>
        <v>Non-Holiday</v>
      </c>
    </row>
    <row r="376" spans="1:9" x14ac:dyDescent="0.35">
      <c r="A376">
        <v>3</v>
      </c>
      <c r="B376" s="1">
        <v>40216</v>
      </c>
      <c r="C376">
        <v>381151.72</v>
      </c>
      <c r="D376">
        <v>0</v>
      </c>
      <c r="E376">
        <v>82.2</v>
      </c>
      <c r="F376">
        <v>2.669</v>
      </c>
      <c r="G376">
        <v>214.54632219999999</v>
      </c>
      <c r="H376">
        <v>7.3460000000000001</v>
      </c>
      <c r="I376" t="str">
        <f>IF(Cleaned_Data[[#This Row],[Holiday_Flag]]=1,"Holiday","Non-Holiday")</f>
        <v>Non-Holiday</v>
      </c>
    </row>
    <row r="377" spans="1:9" x14ac:dyDescent="0.35">
      <c r="A377">
        <v>3</v>
      </c>
      <c r="B377" s="1">
        <v>40428</v>
      </c>
      <c r="C377">
        <v>349214.18</v>
      </c>
      <c r="D377">
        <v>0</v>
      </c>
      <c r="E377">
        <v>81.75</v>
      </c>
      <c r="F377">
        <v>2.6419999999999999</v>
      </c>
      <c r="G377">
        <v>214.4265704</v>
      </c>
      <c r="H377">
        <v>7.3460000000000001</v>
      </c>
      <c r="I377" t="str">
        <f>IF(Cleaned_Data[[#This Row],[Holiday_Flag]]=1,"Holiday","Non-Holiday")</f>
        <v>Non-Holiday</v>
      </c>
    </row>
    <row r="378" spans="1:9" x14ac:dyDescent="0.35">
      <c r="A378">
        <v>3</v>
      </c>
      <c r="B378" s="1">
        <v>40375</v>
      </c>
      <c r="C378">
        <v>352728.78</v>
      </c>
      <c r="D378">
        <v>0</v>
      </c>
      <c r="E378">
        <v>84.32</v>
      </c>
      <c r="F378">
        <v>2.6230000000000002</v>
      </c>
      <c r="G378">
        <v>214.41764760000001</v>
      </c>
      <c r="H378">
        <v>7.3460000000000001</v>
      </c>
      <c r="I378" t="str">
        <f>IF(Cleaned_Data[[#This Row],[Holiday_Flag]]=1,"Holiday","Non-Holiday")</f>
        <v>Non-Holiday</v>
      </c>
    </row>
    <row r="379" spans="1:9" x14ac:dyDescent="0.35">
      <c r="A379">
        <v>3</v>
      </c>
      <c r="B379" s="1">
        <v>40382</v>
      </c>
      <c r="C379">
        <v>352864.49</v>
      </c>
      <c r="D379">
        <v>0</v>
      </c>
      <c r="E379">
        <v>83.32</v>
      </c>
      <c r="F379">
        <v>2.6080000000000001</v>
      </c>
      <c r="G379">
        <v>214.55649679999999</v>
      </c>
      <c r="H379">
        <v>7.3460000000000001</v>
      </c>
      <c r="I379" t="str">
        <f>IF(Cleaned_Data[[#This Row],[Holiday_Flag]]=1,"Holiday","Non-Holiday")</f>
        <v>Non-Holiday</v>
      </c>
    </row>
    <row r="380" spans="1:9" x14ac:dyDescent="0.35">
      <c r="A380">
        <v>3</v>
      </c>
      <c r="B380" s="1">
        <v>40389</v>
      </c>
      <c r="C380">
        <v>347955.05</v>
      </c>
      <c r="D380">
        <v>0</v>
      </c>
      <c r="E380">
        <v>82.04</v>
      </c>
      <c r="F380">
        <v>2.64</v>
      </c>
      <c r="G380">
        <v>214.695346</v>
      </c>
      <c r="H380">
        <v>7.3460000000000001</v>
      </c>
      <c r="I380" t="str">
        <f>IF(Cleaned_Data[[#This Row],[Holiday_Flag]]=1,"Holiday","Non-Holiday")</f>
        <v>Non-Holiday</v>
      </c>
    </row>
    <row r="381" spans="1:9" x14ac:dyDescent="0.35">
      <c r="A381">
        <v>3</v>
      </c>
      <c r="B381" s="1">
        <v>40337</v>
      </c>
      <c r="C381">
        <v>402635.76</v>
      </c>
      <c r="D381">
        <v>0</v>
      </c>
      <c r="E381">
        <v>85.13</v>
      </c>
      <c r="F381">
        <v>2.6269999999999998</v>
      </c>
      <c r="G381">
        <v>214.83419520000001</v>
      </c>
      <c r="H381">
        <v>7.3460000000000001</v>
      </c>
      <c r="I381" t="str">
        <f>IF(Cleaned_Data[[#This Row],[Holiday_Flag]]=1,"Holiday","Non-Holiday")</f>
        <v>Non-Holiday</v>
      </c>
    </row>
    <row r="382" spans="1:9" x14ac:dyDescent="0.35">
      <c r="A382">
        <v>3</v>
      </c>
      <c r="B382" s="1">
        <v>40403</v>
      </c>
      <c r="C382">
        <v>339597.38</v>
      </c>
      <c r="D382">
        <v>0</v>
      </c>
      <c r="E382">
        <v>86.74</v>
      </c>
      <c r="F382">
        <v>2.6920000000000002</v>
      </c>
      <c r="G382">
        <v>214.97304439999999</v>
      </c>
      <c r="H382">
        <v>7.3460000000000001</v>
      </c>
      <c r="I382" t="str">
        <f>IF(Cleaned_Data[[#This Row],[Holiday_Flag]]=1,"Holiday","Non-Holiday")</f>
        <v>Non-Holiday</v>
      </c>
    </row>
    <row r="383" spans="1:9" x14ac:dyDescent="0.35">
      <c r="A383">
        <v>3</v>
      </c>
      <c r="B383" s="1">
        <v>40410</v>
      </c>
      <c r="C383">
        <v>351728.21</v>
      </c>
      <c r="D383">
        <v>0</v>
      </c>
      <c r="E383">
        <v>88.02</v>
      </c>
      <c r="F383">
        <v>2.6640000000000001</v>
      </c>
      <c r="G383">
        <v>214.9314191</v>
      </c>
      <c r="H383">
        <v>7.3460000000000001</v>
      </c>
      <c r="I383" t="str">
        <f>IF(Cleaned_Data[[#This Row],[Holiday_Flag]]=1,"Holiday","Non-Holiday")</f>
        <v>Non-Holiday</v>
      </c>
    </row>
    <row r="384" spans="1:9" x14ac:dyDescent="0.35">
      <c r="A384">
        <v>3</v>
      </c>
      <c r="B384" s="1">
        <v>40417</v>
      </c>
      <c r="C384">
        <v>362134.09</v>
      </c>
      <c r="D384">
        <v>0</v>
      </c>
      <c r="E384">
        <v>86.15</v>
      </c>
      <c r="F384">
        <v>2.6190000000000002</v>
      </c>
      <c r="G384">
        <v>214.88979380000001</v>
      </c>
      <c r="H384">
        <v>7.3460000000000001</v>
      </c>
      <c r="I384" t="str">
        <f>IF(Cleaned_Data[[#This Row],[Holiday_Flag]]=1,"Holiday","Non-Holiday")</f>
        <v>Non-Holiday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F9C6-84D6-4390-B404-8F88459836D4}">
  <sheetPr codeName="Sheet2"/>
  <dimension ref="A2:MX510"/>
  <sheetViews>
    <sheetView showGridLines="0" tabSelected="1" zoomScale="80" zoomScaleNormal="80" workbookViewId="0">
      <selection activeCell="I24" sqref="I24"/>
    </sheetView>
  </sheetViews>
  <sheetFormatPr defaultRowHeight="14.5" x14ac:dyDescent="0.35"/>
  <cols>
    <col min="1" max="1" width="8.6328125" customWidth="1"/>
    <col min="2" max="2" width="15.453125" bestFit="1" customWidth="1"/>
    <col min="3" max="3" width="19.54296875" bestFit="1" customWidth="1"/>
    <col min="4" max="4" width="11.81640625" bestFit="1" customWidth="1"/>
    <col min="5" max="5" width="16.453125" bestFit="1" customWidth="1"/>
    <col min="6" max="6" width="13.36328125" bestFit="1" customWidth="1"/>
    <col min="7" max="7" width="19.54296875" bestFit="1" customWidth="1"/>
    <col min="8" max="8" width="6.6328125" bestFit="1" customWidth="1"/>
    <col min="9" max="9" width="13.36328125" bestFit="1" customWidth="1"/>
    <col min="10" max="10" width="19.54296875" bestFit="1" customWidth="1"/>
    <col min="11" max="11" width="13.36328125" bestFit="1" customWidth="1"/>
    <col min="12" max="12" width="19.54296875" bestFit="1" customWidth="1"/>
    <col min="13" max="15" width="11" bestFit="1" customWidth="1"/>
    <col min="16" max="17" width="9.90625" bestFit="1" customWidth="1"/>
    <col min="18" max="35" width="11" bestFit="1" customWidth="1"/>
    <col min="36" max="36" width="9.90625" bestFit="1" customWidth="1"/>
    <col min="37" max="40" width="11" bestFit="1" customWidth="1"/>
    <col min="41" max="41" width="9.90625" bestFit="1" customWidth="1"/>
    <col min="42" max="51" width="11" bestFit="1" customWidth="1"/>
    <col min="52" max="52" width="9.90625" bestFit="1" customWidth="1"/>
    <col min="53" max="74" width="11" bestFit="1" customWidth="1"/>
    <col min="75" max="75" width="9.90625" bestFit="1" customWidth="1"/>
    <col min="76" max="80" width="11" bestFit="1" customWidth="1"/>
    <col min="81" max="81" width="9.90625" bestFit="1" customWidth="1"/>
    <col min="82" max="90" width="11" bestFit="1" customWidth="1"/>
    <col min="91" max="91" width="9.90625" bestFit="1" customWidth="1"/>
    <col min="92" max="96" width="11" bestFit="1" customWidth="1"/>
    <col min="97" max="97" width="9.90625" bestFit="1" customWidth="1"/>
    <col min="98" max="108" width="11" bestFit="1" customWidth="1"/>
    <col min="109" max="111" width="12.08984375" bestFit="1" customWidth="1"/>
    <col min="112" max="112" width="8.81640625" bestFit="1" customWidth="1"/>
    <col min="113" max="116" width="12.08984375" bestFit="1" customWidth="1"/>
    <col min="117" max="117" width="11" bestFit="1" customWidth="1"/>
    <col min="118" max="124" width="12.08984375" bestFit="1" customWidth="1"/>
    <col min="125" max="125" width="11" bestFit="1" customWidth="1"/>
    <col min="126" max="137" width="12.08984375" bestFit="1" customWidth="1"/>
    <col min="138" max="138" width="11" bestFit="1" customWidth="1"/>
    <col min="139" max="150" width="12.08984375" bestFit="1" customWidth="1"/>
    <col min="151" max="151" width="11" bestFit="1" customWidth="1"/>
    <col min="152" max="182" width="12.08984375" bestFit="1" customWidth="1"/>
    <col min="183" max="183" width="8.81640625" bestFit="1" customWidth="1"/>
    <col min="184" max="186" width="12.08984375" bestFit="1" customWidth="1"/>
    <col min="187" max="187" width="11" bestFit="1" customWidth="1"/>
    <col min="188" max="200" width="12.08984375" bestFit="1" customWidth="1"/>
    <col min="201" max="201" width="11" bestFit="1" customWidth="1"/>
    <col min="202" max="204" width="12.08984375" bestFit="1" customWidth="1"/>
    <col min="205" max="205" width="8.81640625" bestFit="1" customWidth="1"/>
    <col min="206" max="211" width="12.08984375" bestFit="1" customWidth="1"/>
    <col min="212" max="212" width="11" bestFit="1" customWidth="1"/>
    <col min="213" max="249" width="12.08984375" bestFit="1" customWidth="1"/>
    <col min="250" max="251" width="11" bestFit="1" customWidth="1"/>
    <col min="252" max="258" width="12.08984375" bestFit="1" customWidth="1"/>
    <col min="259" max="259" width="11" bestFit="1" customWidth="1"/>
    <col min="260" max="262" width="12.08984375" bestFit="1" customWidth="1"/>
    <col min="263" max="263" width="8.81640625" bestFit="1" customWidth="1"/>
    <col min="264" max="272" width="12.08984375" bestFit="1" customWidth="1"/>
    <col min="273" max="273" width="11" bestFit="1" customWidth="1"/>
    <col min="274" max="282" width="12.08984375" bestFit="1" customWidth="1"/>
    <col min="283" max="283" width="11" bestFit="1" customWidth="1"/>
    <col min="284" max="285" width="12.08984375" bestFit="1" customWidth="1"/>
    <col min="286" max="286" width="8.81640625" bestFit="1" customWidth="1"/>
    <col min="287" max="294" width="12.08984375" bestFit="1" customWidth="1"/>
    <col min="295" max="295" width="11" bestFit="1" customWidth="1"/>
    <col min="296" max="301" width="12.08984375" bestFit="1" customWidth="1"/>
    <col min="302" max="302" width="11" bestFit="1" customWidth="1"/>
    <col min="303" max="314" width="12.08984375" bestFit="1" customWidth="1"/>
    <col min="315" max="315" width="11" bestFit="1" customWidth="1"/>
    <col min="316" max="320" width="12.08984375" bestFit="1" customWidth="1"/>
    <col min="321" max="321" width="11" bestFit="1" customWidth="1"/>
    <col min="322" max="324" width="12.08984375" bestFit="1" customWidth="1"/>
    <col min="325" max="325" width="8.81640625" bestFit="1" customWidth="1"/>
    <col min="326" max="327" width="12.08984375" bestFit="1" customWidth="1"/>
    <col min="328" max="329" width="11" bestFit="1" customWidth="1"/>
    <col min="330" max="341" width="12.08984375" bestFit="1" customWidth="1"/>
    <col min="342" max="342" width="11" bestFit="1" customWidth="1"/>
    <col min="343" max="348" width="12.08984375" bestFit="1" customWidth="1"/>
    <col min="349" max="349" width="11" bestFit="1" customWidth="1"/>
    <col min="350" max="354" width="12.08984375" bestFit="1" customWidth="1"/>
    <col min="355" max="355" width="11" bestFit="1" customWidth="1"/>
    <col min="356" max="357" width="12.08984375" bestFit="1" customWidth="1"/>
    <col min="358" max="358" width="11" bestFit="1" customWidth="1"/>
    <col min="359" max="359" width="12.08984375" bestFit="1" customWidth="1"/>
    <col min="360" max="360" width="11" bestFit="1" customWidth="1"/>
    <col min="361" max="361" width="12.08984375" bestFit="1" customWidth="1"/>
    <col min="362" max="362" width="11.7265625" bestFit="1" customWidth="1"/>
  </cols>
  <sheetData>
    <row r="2" spans="2:11" ht="19" customHeight="1" x14ac:dyDescent="0.35">
      <c r="B2" s="31" t="s">
        <v>112</v>
      </c>
      <c r="C2" s="31"/>
      <c r="D2" s="31"/>
      <c r="E2" s="31"/>
      <c r="F2" s="31"/>
      <c r="G2" s="31"/>
      <c r="H2" s="31"/>
    </row>
    <row r="3" spans="2:11" ht="14.5" customHeight="1" thickBot="1" x14ac:dyDescent="0.5">
      <c r="B3" s="32"/>
      <c r="C3" s="32"/>
      <c r="D3" s="32"/>
      <c r="E3" s="32"/>
      <c r="F3" s="32"/>
      <c r="G3" s="32"/>
      <c r="H3" s="32"/>
      <c r="I3" s="5"/>
      <c r="J3" s="5"/>
      <c r="K3" s="5"/>
    </row>
    <row r="4" spans="2:11" ht="14.5" customHeight="1" thickTop="1" x14ac:dyDescent="0.35"/>
    <row r="6" spans="2:11" x14ac:dyDescent="0.35">
      <c r="B6" s="13" t="s">
        <v>118</v>
      </c>
      <c r="C6" t="s">
        <v>111</v>
      </c>
      <c r="E6" s="3" t="s">
        <v>120</v>
      </c>
      <c r="G6" s="3">
        <f>INDEX(B7:B9,MATCH(MAX(C7:C9),C7:C9))</f>
        <v>2</v>
      </c>
    </row>
    <row r="7" spans="2:11" s="3" customFormat="1" ht="15.5" x14ac:dyDescent="0.35">
      <c r="B7" s="2">
        <v>1</v>
      </c>
      <c r="C7" s="14">
        <v>215805933.57000008</v>
      </c>
      <c r="D7"/>
      <c r="F7" s="4"/>
      <c r="I7" s="25"/>
    </row>
    <row r="8" spans="2:11" x14ac:dyDescent="0.35">
      <c r="B8" s="2">
        <v>2</v>
      </c>
      <c r="C8" s="14">
        <v>262341149.06999999</v>
      </c>
      <c r="G8" s="11"/>
    </row>
    <row r="9" spans="2:11" x14ac:dyDescent="0.35">
      <c r="B9" s="2">
        <v>3</v>
      </c>
      <c r="C9" s="14">
        <v>42630640.68</v>
      </c>
    </row>
    <row r="10" spans="2:11" x14ac:dyDescent="0.35">
      <c r="B10" s="2" t="s">
        <v>110</v>
      </c>
      <c r="C10" s="14">
        <v>520777723.32000011</v>
      </c>
    </row>
    <row r="11" spans="2:11" x14ac:dyDescent="0.35">
      <c r="I11" s="25"/>
    </row>
    <row r="13" spans="2:11" x14ac:dyDescent="0.35">
      <c r="B13" s="13" t="s">
        <v>118</v>
      </c>
      <c r="C13" t="s">
        <v>119</v>
      </c>
      <c r="I13" s="25"/>
    </row>
    <row r="14" spans="2:11" x14ac:dyDescent="0.35">
      <c r="B14" s="2">
        <v>1</v>
      </c>
      <c r="C14" s="14">
        <v>1563811.1128260875</v>
      </c>
      <c r="I14" s="25"/>
    </row>
    <row r="15" spans="2:11" s="3" customFormat="1" x14ac:dyDescent="0.35">
      <c r="B15" s="2">
        <v>2</v>
      </c>
      <c r="C15" s="14">
        <v>1901022.8193478261</v>
      </c>
      <c r="D15"/>
      <c r="G15"/>
      <c r="H15"/>
      <c r="I15"/>
    </row>
    <row r="16" spans="2:11" x14ac:dyDescent="0.35">
      <c r="B16" s="2">
        <v>3</v>
      </c>
      <c r="C16" s="14">
        <v>398417.20261682244</v>
      </c>
      <c r="I16" s="17"/>
      <c r="J16" s="17"/>
    </row>
    <row r="17" spans="2:3" x14ac:dyDescent="0.35">
      <c r="B17" s="2" t="s">
        <v>110</v>
      </c>
      <c r="C17" s="14">
        <v>1359732.9590600526</v>
      </c>
    </row>
    <row r="20" spans="2:3" x14ac:dyDescent="0.35">
      <c r="B20" s="13" t="s">
        <v>118</v>
      </c>
      <c r="C20" t="s">
        <v>111</v>
      </c>
    </row>
    <row r="21" spans="2:3" x14ac:dyDescent="0.35">
      <c r="B21" s="2" t="s">
        <v>122</v>
      </c>
      <c r="C21" s="14">
        <v>39146032.159999996</v>
      </c>
    </row>
    <row r="22" spans="2:3" x14ac:dyDescent="0.35">
      <c r="B22" s="2" t="s">
        <v>123</v>
      </c>
      <c r="C22" s="14">
        <v>481631691.16000032</v>
      </c>
    </row>
    <row r="23" spans="2:3" x14ac:dyDescent="0.35">
      <c r="B23" s="2" t="s">
        <v>110</v>
      </c>
      <c r="C23" s="14">
        <v>520777723.32000029</v>
      </c>
    </row>
    <row r="26" spans="2:3" x14ac:dyDescent="0.35">
      <c r="B26" s="16" t="s">
        <v>130</v>
      </c>
      <c r="C26" t="s">
        <v>111</v>
      </c>
    </row>
    <row r="27" spans="2:3" x14ac:dyDescent="0.35">
      <c r="B27" s="2" t="s">
        <v>124</v>
      </c>
      <c r="C27" s="14">
        <v>116725603.88999999</v>
      </c>
    </row>
    <row r="28" spans="2:3" x14ac:dyDescent="0.35">
      <c r="B28" s="2" t="s">
        <v>125</v>
      </c>
      <c r="C28" s="14">
        <v>55464235.689999998</v>
      </c>
    </row>
    <row r="29" spans="2:3" x14ac:dyDescent="0.35">
      <c r="B29" s="2" t="s">
        <v>126</v>
      </c>
      <c r="C29" s="14">
        <v>56730465.239999995</v>
      </c>
    </row>
    <row r="30" spans="2:3" x14ac:dyDescent="0.35">
      <c r="B30" s="2" t="s">
        <v>127</v>
      </c>
      <c r="C30" s="14">
        <v>105260983.59999995</v>
      </c>
    </row>
    <row r="31" spans="2:3" x14ac:dyDescent="0.35">
      <c r="B31" s="2" t="s">
        <v>128</v>
      </c>
      <c r="C31" s="14">
        <v>142454451.62</v>
      </c>
    </row>
    <row r="32" spans="2:3" x14ac:dyDescent="0.35">
      <c r="B32" s="2" t="s">
        <v>129</v>
      </c>
      <c r="C32" s="14">
        <v>44141983.280000016</v>
      </c>
    </row>
    <row r="33" spans="1:362" s="6" customFormat="1" ht="18.5" x14ac:dyDescent="0.35">
      <c r="B33" s="2" t="s">
        <v>110</v>
      </c>
      <c r="C33" s="14">
        <v>520777723.31999999</v>
      </c>
      <c r="E33"/>
      <c r="F33"/>
      <c r="G33"/>
      <c r="H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row>
    <row r="34" spans="1:362" s="8" customFormat="1" x14ac:dyDescent="0.35">
      <c r="E34"/>
      <c r="H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row>
    <row r="35" spans="1:362" s="8" customFormat="1" x14ac:dyDescent="0.35">
      <c r="B35" s="13" t="s">
        <v>144</v>
      </c>
      <c r="C35" t="s">
        <v>131</v>
      </c>
      <c r="E35"/>
      <c r="H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row>
    <row r="36" spans="1:362" s="8" customFormat="1" x14ac:dyDescent="0.35">
      <c r="B36"/>
      <c r="C36"/>
      <c r="E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row>
    <row r="37" spans="1:362" s="8" customFormat="1" x14ac:dyDescent="0.35">
      <c r="B37" s="13" t="s">
        <v>118</v>
      </c>
      <c r="C37" t="s">
        <v>111</v>
      </c>
      <c r="E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row>
    <row r="38" spans="1:362" s="8" customFormat="1" ht="18.5" x14ac:dyDescent="0.35">
      <c r="B38" s="2" t="s">
        <v>132</v>
      </c>
      <c r="C38" s="14">
        <v>1827440.43</v>
      </c>
      <c r="E38"/>
      <c r="H38"/>
      <c r="I38"/>
      <c r="K38" s="15"/>
      <c r="L38" s="15"/>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row>
    <row r="39" spans="1:362" s="8" customFormat="1" x14ac:dyDescent="0.35">
      <c r="B39" s="2" t="s">
        <v>133</v>
      </c>
      <c r="C39" s="14">
        <v>11689781.48</v>
      </c>
      <c r="E39"/>
      <c r="H39"/>
      <c r="I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row>
    <row r="40" spans="1:362" s="8" customFormat="1" x14ac:dyDescent="0.35">
      <c r="B40" s="2" t="s">
        <v>134</v>
      </c>
      <c r="C40" s="14">
        <v>14792696.669999998</v>
      </c>
      <c r="E40"/>
      <c r="H40"/>
      <c r="I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row>
    <row r="41" spans="1:362" s="7" customFormat="1" ht="15.5" x14ac:dyDescent="0.35">
      <c r="B41" s="2" t="s">
        <v>135</v>
      </c>
      <c r="C41" s="14">
        <v>10878688.98</v>
      </c>
      <c r="E41"/>
      <c r="H41"/>
      <c r="I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row>
    <row r="42" spans="1:362" s="9" customFormat="1" x14ac:dyDescent="0.35">
      <c r="B42" s="2" t="s">
        <v>136</v>
      </c>
      <c r="C42" s="14">
        <v>15275902.859999999</v>
      </c>
      <c r="E42"/>
      <c r="H42"/>
      <c r="I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row>
    <row r="43" spans="1:362" s="9" customFormat="1" x14ac:dyDescent="0.35">
      <c r="B43" s="2" t="s">
        <v>137</v>
      </c>
      <c r="C43" s="14">
        <v>12713079.649999999</v>
      </c>
      <c r="D43"/>
      <c r="E43"/>
      <c r="H43"/>
      <c r="I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row>
    <row r="44" spans="1:362" x14ac:dyDescent="0.35">
      <c r="A44" s="9"/>
      <c r="B44" s="2" t="s">
        <v>138</v>
      </c>
      <c r="C44" s="14">
        <v>5195485.7700000014</v>
      </c>
      <c r="D44" s="10"/>
    </row>
    <row r="45" spans="1:362" x14ac:dyDescent="0.35">
      <c r="B45" s="2" t="s">
        <v>139</v>
      </c>
      <c r="C45" s="14">
        <v>15669149.029999999</v>
      </c>
      <c r="D45" s="10"/>
    </row>
    <row r="46" spans="1:362" x14ac:dyDescent="0.35">
      <c r="B46" s="2" t="s">
        <v>140</v>
      </c>
      <c r="C46" s="14">
        <v>9654854.0899999999</v>
      </c>
      <c r="D46" s="10"/>
    </row>
    <row r="47" spans="1:362" x14ac:dyDescent="0.35">
      <c r="B47" s="2" t="s">
        <v>141</v>
      </c>
      <c r="C47" s="14">
        <v>20612892.300000001</v>
      </c>
      <c r="D47" s="2"/>
    </row>
    <row r="48" spans="1:362" x14ac:dyDescent="0.35">
      <c r="B48" s="2" t="s">
        <v>142</v>
      </c>
      <c r="C48" s="14">
        <v>14828466.139999999</v>
      </c>
    </row>
    <row r="49" spans="2:4" x14ac:dyDescent="0.35">
      <c r="B49" s="2" t="s">
        <v>143</v>
      </c>
      <c r="C49" s="14">
        <v>27600123.100000001</v>
      </c>
    </row>
    <row r="50" spans="2:4" x14ac:dyDescent="0.35">
      <c r="B50" s="2" t="s">
        <v>110</v>
      </c>
      <c r="C50" s="14">
        <v>160738560.5</v>
      </c>
    </row>
    <row r="53" spans="2:4" ht="18.5" x14ac:dyDescent="0.35">
      <c r="B53" s="29" t="s">
        <v>145</v>
      </c>
      <c r="C53" s="15"/>
      <c r="D53" s="15"/>
    </row>
    <row r="55" spans="2:4" x14ac:dyDescent="0.35">
      <c r="B55" s="27" t="s">
        <v>114</v>
      </c>
      <c r="C55" s="28"/>
      <c r="D55" s="28"/>
    </row>
    <row r="56" spans="2:4" x14ac:dyDescent="0.35">
      <c r="B56" s="27" t="s">
        <v>116</v>
      </c>
      <c r="C56" s="28"/>
      <c r="D56" s="28"/>
    </row>
    <row r="57" spans="2:4" x14ac:dyDescent="0.35">
      <c r="B57" s="27" t="s">
        <v>115</v>
      </c>
      <c r="C57" s="28"/>
      <c r="D57" s="28"/>
    </row>
    <row r="59" spans="2:4" ht="18.5" x14ac:dyDescent="0.35">
      <c r="B59" s="30" t="s">
        <v>113</v>
      </c>
      <c r="C59" s="30"/>
      <c r="D59" s="30"/>
    </row>
    <row r="61" spans="2:4" x14ac:dyDescent="0.35">
      <c r="B61" s="26" t="s">
        <v>117</v>
      </c>
      <c r="C61" s="26"/>
      <c r="D61" s="26"/>
    </row>
    <row r="62" spans="2:4" x14ac:dyDescent="0.35">
      <c r="B62" s="26"/>
      <c r="C62" s="26"/>
      <c r="D62" s="26"/>
    </row>
    <row r="63" spans="2:4" x14ac:dyDescent="0.35">
      <c r="B63" s="26"/>
      <c r="C63" s="26"/>
      <c r="D63" s="26"/>
    </row>
    <row r="64" spans="2:4" x14ac:dyDescent="0.35">
      <c r="B64" s="26"/>
      <c r="C64" s="26"/>
      <c r="D64" s="26"/>
    </row>
    <row r="65" spans="2:4" x14ac:dyDescent="0.35">
      <c r="B65" s="26"/>
      <c r="C65" s="26"/>
      <c r="D65" s="26"/>
    </row>
    <row r="156" ht="15" thickBot="1" x14ac:dyDescent="0.4"/>
    <row r="510" ht="15" thickBot="1" x14ac:dyDescent="0.4"/>
  </sheetData>
  <mergeCells count="4">
    <mergeCell ref="B59:D59"/>
    <mergeCell ref="B2:H3"/>
    <mergeCell ref="B61:D65"/>
    <mergeCell ref="I16:J16"/>
  </mergeCells>
  <conditionalFormatting sqref="MY34:XFD34">
    <cfRule type="iconSet" priority="1">
      <iconSet>
        <cfvo type="percent" val="0"/>
        <cfvo type="percent" val="33"/>
        <cfvo type="percent" val="67"/>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435"/>
  <sheetViews>
    <sheetView zoomScaleNormal="100" workbookViewId="0">
      <selection activeCell="A402" sqref="A402:H434"/>
    </sheetView>
  </sheetViews>
  <sheetFormatPr defaultRowHeight="14.5" x14ac:dyDescent="0.35"/>
  <cols>
    <col min="1" max="1" width="7.1796875" customWidth="1"/>
    <col min="2" max="2" width="14.36328125" customWidth="1"/>
    <col min="3" max="3" width="14.08984375" customWidth="1"/>
    <col min="4" max="4" width="13.26953125" customWidth="1"/>
    <col min="5" max="5" width="13.54296875" customWidth="1"/>
    <col min="6" max="6" width="11.26953125" customWidth="1"/>
    <col min="8" max="8" width="15.81640625" customWidth="1"/>
    <col min="9" max="9" width="0.1796875" customWidth="1"/>
    <col min="10" max="12" width="8.7265625" hidden="1" customWidth="1"/>
    <col min="22" max="22" width="18.08984375" customWidth="1"/>
  </cols>
  <sheetData>
    <row r="1" spans="1:11" x14ac:dyDescent="0.35">
      <c r="A1" t="s">
        <v>0</v>
      </c>
      <c r="B1" t="s">
        <v>1</v>
      </c>
      <c r="C1" t="s">
        <v>2</v>
      </c>
      <c r="D1" t="s">
        <v>3</v>
      </c>
      <c r="E1" t="s">
        <v>4</v>
      </c>
      <c r="F1" t="s">
        <v>5</v>
      </c>
      <c r="G1" t="s">
        <v>6</v>
      </c>
      <c r="H1" t="s">
        <v>7</v>
      </c>
    </row>
    <row r="2" spans="1:11" x14ac:dyDescent="0.35">
      <c r="A2">
        <v>1</v>
      </c>
      <c r="B2" s="1">
        <v>40300</v>
      </c>
      <c r="C2">
        <v>1643690.9</v>
      </c>
      <c r="D2">
        <v>0</v>
      </c>
      <c r="E2">
        <v>42.31</v>
      </c>
      <c r="F2">
        <v>2.5720000000000001</v>
      </c>
      <c r="G2">
        <v>211.0963582</v>
      </c>
      <c r="H2">
        <v>8.1059999999999999</v>
      </c>
    </row>
    <row r="3" spans="1:11" x14ac:dyDescent="0.35">
      <c r="A3">
        <v>1</v>
      </c>
      <c r="B3" s="1">
        <v>40514</v>
      </c>
      <c r="C3">
        <v>1641957.44</v>
      </c>
      <c r="D3">
        <v>1</v>
      </c>
      <c r="E3">
        <v>38.51</v>
      </c>
      <c r="F3">
        <v>2.548</v>
      </c>
      <c r="G3">
        <v>211.2421698</v>
      </c>
      <c r="H3">
        <v>8.1059999999999999</v>
      </c>
      <c r="J3" s="1"/>
    </row>
    <row r="4" spans="1:11" x14ac:dyDescent="0.35">
      <c r="A4">
        <v>1</v>
      </c>
      <c r="B4" t="s">
        <v>8</v>
      </c>
      <c r="C4">
        <v>1611968.17</v>
      </c>
      <c r="D4">
        <v>0</v>
      </c>
      <c r="E4">
        <v>39.93</v>
      </c>
      <c r="F4">
        <v>2.5139999999999998</v>
      </c>
      <c r="G4">
        <v>211.2891429</v>
      </c>
      <c r="H4">
        <v>8.1059999999999999</v>
      </c>
      <c r="J4" s="1"/>
    </row>
    <row r="5" spans="1:11" x14ac:dyDescent="0.35">
      <c r="A5">
        <v>1</v>
      </c>
      <c r="B5" t="s">
        <v>9</v>
      </c>
      <c r="C5">
        <v>1409727.59</v>
      </c>
      <c r="D5">
        <v>0</v>
      </c>
      <c r="E5">
        <v>46.63</v>
      </c>
      <c r="F5">
        <v>2.5609999999999999</v>
      </c>
      <c r="G5">
        <v>211.31964289999999</v>
      </c>
      <c r="H5">
        <v>8.1059999999999999</v>
      </c>
    </row>
    <row r="6" spans="1:11" x14ac:dyDescent="0.35">
      <c r="A6">
        <v>1</v>
      </c>
      <c r="B6" s="1">
        <v>40301</v>
      </c>
      <c r="C6">
        <v>1554806.68</v>
      </c>
      <c r="D6">
        <v>0</v>
      </c>
      <c r="E6">
        <v>46.5</v>
      </c>
      <c r="F6">
        <v>2.625</v>
      </c>
      <c r="G6">
        <v>211.35014290000001</v>
      </c>
      <c r="H6">
        <v>8.1059999999999999</v>
      </c>
    </row>
    <row r="7" spans="1:11" x14ac:dyDescent="0.35">
      <c r="A7">
        <v>1</v>
      </c>
      <c r="B7" s="1">
        <v>40515</v>
      </c>
      <c r="C7">
        <v>1439541.59</v>
      </c>
      <c r="D7">
        <v>0</v>
      </c>
      <c r="E7">
        <v>57.79</v>
      </c>
      <c r="F7">
        <v>2.6669999999999998</v>
      </c>
      <c r="G7">
        <v>211.3806429</v>
      </c>
      <c r="H7">
        <v>8.1059999999999999</v>
      </c>
      <c r="J7" s="1"/>
      <c r="K7" s="1"/>
    </row>
    <row r="8" spans="1:11" x14ac:dyDescent="0.35">
      <c r="A8">
        <v>1</v>
      </c>
      <c r="B8" t="s">
        <v>10</v>
      </c>
      <c r="C8">
        <v>1472515.79</v>
      </c>
      <c r="D8">
        <v>0</v>
      </c>
      <c r="E8">
        <v>54.58</v>
      </c>
      <c r="F8">
        <v>2.72</v>
      </c>
      <c r="G8">
        <v>211.21563499999999</v>
      </c>
      <c r="H8">
        <v>8.1059999999999999</v>
      </c>
      <c r="J8" s="1"/>
    </row>
    <row r="9" spans="1:11" x14ac:dyDescent="0.35">
      <c r="A9">
        <v>1</v>
      </c>
      <c r="B9" t="s">
        <v>11</v>
      </c>
      <c r="C9">
        <v>1404429.92</v>
      </c>
      <c r="D9">
        <v>0</v>
      </c>
      <c r="E9">
        <v>51.45</v>
      </c>
      <c r="F9">
        <v>2.7320000000000002</v>
      </c>
      <c r="G9">
        <v>211.01804240000001</v>
      </c>
      <c r="H9">
        <v>8.1059999999999999</v>
      </c>
    </row>
    <row r="10" spans="1:11" x14ac:dyDescent="0.35">
      <c r="A10">
        <v>1</v>
      </c>
      <c r="B10" s="1">
        <v>40213</v>
      </c>
      <c r="C10">
        <v>1594968.28</v>
      </c>
      <c r="D10">
        <v>0</v>
      </c>
      <c r="E10">
        <v>62.27</v>
      </c>
      <c r="F10">
        <v>2.7189999999999999</v>
      </c>
      <c r="G10">
        <v>210.8204499</v>
      </c>
      <c r="H10">
        <v>7.8079999999999998</v>
      </c>
    </row>
    <row r="11" spans="1:11" x14ac:dyDescent="0.35">
      <c r="A11">
        <v>1</v>
      </c>
      <c r="B11" s="1">
        <v>40425</v>
      </c>
      <c r="C11">
        <v>1545418.53</v>
      </c>
      <c r="D11">
        <v>0</v>
      </c>
      <c r="E11">
        <v>65.86</v>
      </c>
      <c r="F11">
        <v>2.77</v>
      </c>
      <c r="G11">
        <v>210.62285739999999</v>
      </c>
      <c r="H11">
        <v>7.8079999999999998</v>
      </c>
      <c r="J11" s="1"/>
    </row>
    <row r="12" spans="1:11" x14ac:dyDescent="0.35">
      <c r="A12">
        <v>1</v>
      </c>
      <c r="B12" t="s">
        <v>12</v>
      </c>
      <c r="C12">
        <v>1466058.28</v>
      </c>
      <c r="D12">
        <v>0</v>
      </c>
      <c r="E12">
        <v>66.319999999999993</v>
      </c>
      <c r="F12">
        <v>2.8079999999999998</v>
      </c>
      <c r="G12">
        <v>210.48869999999999</v>
      </c>
      <c r="H12">
        <v>7.8079999999999998</v>
      </c>
      <c r="J12" s="1"/>
    </row>
    <row r="13" spans="1:11" x14ac:dyDescent="0.35">
      <c r="A13">
        <v>1</v>
      </c>
      <c r="B13" t="s">
        <v>13</v>
      </c>
      <c r="C13">
        <v>1391256.12</v>
      </c>
      <c r="D13">
        <v>0</v>
      </c>
      <c r="E13">
        <v>64.84</v>
      </c>
      <c r="F13">
        <v>2.7949999999999999</v>
      </c>
      <c r="G13">
        <v>210.43912280000001</v>
      </c>
      <c r="H13">
        <v>7.8079999999999998</v>
      </c>
    </row>
    <row r="14" spans="1:11" x14ac:dyDescent="0.35">
      <c r="A14">
        <v>1</v>
      </c>
      <c r="B14" t="s">
        <v>14</v>
      </c>
      <c r="C14">
        <v>1425100.71</v>
      </c>
      <c r="D14">
        <v>0</v>
      </c>
      <c r="E14">
        <v>67.41</v>
      </c>
      <c r="F14">
        <v>2.78</v>
      </c>
      <c r="G14">
        <v>210.38954559999999</v>
      </c>
      <c r="H14">
        <v>7.8079999999999998</v>
      </c>
    </row>
    <row r="15" spans="1:11" x14ac:dyDescent="0.35">
      <c r="A15">
        <v>1</v>
      </c>
      <c r="B15" s="1">
        <v>40364</v>
      </c>
      <c r="C15">
        <v>1603955.12</v>
      </c>
      <c r="D15">
        <v>0</v>
      </c>
      <c r="E15">
        <v>72.55</v>
      </c>
      <c r="F15">
        <v>2.835</v>
      </c>
      <c r="G15">
        <v>210.3399684</v>
      </c>
      <c r="H15">
        <v>7.8079999999999998</v>
      </c>
    </row>
    <row r="16" spans="1:11" x14ac:dyDescent="0.35">
      <c r="A16">
        <v>1</v>
      </c>
      <c r="B16" t="s">
        <v>15</v>
      </c>
      <c r="C16">
        <v>1494251.5</v>
      </c>
      <c r="D16">
        <v>0</v>
      </c>
      <c r="E16">
        <v>74.78</v>
      </c>
      <c r="F16">
        <v>2.8540000000000001</v>
      </c>
      <c r="G16">
        <v>210.33742609999999</v>
      </c>
      <c r="H16">
        <v>7.8079999999999998</v>
      </c>
      <c r="J16" s="1"/>
    </row>
    <row r="17" spans="1:10" x14ac:dyDescent="0.35">
      <c r="A17">
        <v>1</v>
      </c>
      <c r="B17" t="s">
        <v>16</v>
      </c>
      <c r="C17">
        <v>1399662.07</v>
      </c>
      <c r="D17">
        <v>0</v>
      </c>
      <c r="E17">
        <v>76.44</v>
      </c>
      <c r="F17">
        <v>2.8260000000000001</v>
      </c>
      <c r="G17">
        <v>210.61709339999999</v>
      </c>
      <c r="H17">
        <v>7.8079999999999998</v>
      </c>
    </row>
    <row r="18" spans="1:10" x14ac:dyDescent="0.35">
      <c r="A18">
        <v>1</v>
      </c>
      <c r="B18" t="s">
        <v>17</v>
      </c>
      <c r="C18">
        <v>1432069.95</v>
      </c>
      <c r="D18">
        <v>0</v>
      </c>
      <c r="E18">
        <v>80.44</v>
      </c>
      <c r="F18">
        <v>2.7589999999999999</v>
      </c>
      <c r="G18">
        <v>210.89676059999999</v>
      </c>
      <c r="H18">
        <v>7.8079999999999998</v>
      </c>
    </row>
    <row r="19" spans="1:10" x14ac:dyDescent="0.35">
      <c r="A19">
        <v>1</v>
      </c>
      <c r="B19" s="1">
        <v>40274</v>
      </c>
      <c r="C19">
        <v>1615524.71</v>
      </c>
      <c r="D19">
        <v>0</v>
      </c>
      <c r="E19">
        <v>80.69</v>
      </c>
      <c r="F19">
        <v>2.7050000000000001</v>
      </c>
      <c r="G19">
        <v>211.1764278</v>
      </c>
      <c r="H19">
        <v>7.8079999999999998</v>
      </c>
    </row>
    <row r="20" spans="1:10" x14ac:dyDescent="0.35">
      <c r="A20">
        <v>1</v>
      </c>
      <c r="B20" s="1">
        <v>40488</v>
      </c>
      <c r="C20">
        <v>1542561.09</v>
      </c>
      <c r="D20">
        <v>0</v>
      </c>
      <c r="E20">
        <v>80.430000000000007</v>
      </c>
      <c r="F20">
        <v>2.6680000000000001</v>
      </c>
      <c r="G20">
        <v>211.4560951</v>
      </c>
      <c r="H20">
        <v>7.8079999999999998</v>
      </c>
      <c r="J20" s="1"/>
    </row>
    <row r="21" spans="1:10" x14ac:dyDescent="0.35">
      <c r="A21">
        <v>1</v>
      </c>
      <c r="B21" t="s">
        <v>18</v>
      </c>
      <c r="C21">
        <v>1503284.06</v>
      </c>
      <c r="D21">
        <v>0</v>
      </c>
      <c r="E21">
        <v>84.11</v>
      </c>
      <c r="F21">
        <v>2.637</v>
      </c>
      <c r="G21">
        <v>211.45377189999999</v>
      </c>
      <c r="H21">
        <v>7.8079999999999998</v>
      </c>
      <c r="J21" s="1"/>
    </row>
    <row r="22" spans="1:10" x14ac:dyDescent="0.35">
      <c r="A22">
        <v>1</v>
      </c>
      <c r="B22" t="s">
        <v>19</v>
      </c>
      <c r="C22">
        <v>1422711.6</v>
      </c>
      <c r="D22" t="s">
        <v>97</v>
      </c>
      <c r="E22">
        <v>84.34</v>
      </c>
      <c r="F22">
        <v>2.653</v>
      </c>
      <c r="G22">
        <v>211.33865259999999</v>
      </c>
      <c r="H22">
        <v>7.8079999999999998</v>
      </c>
    </row>
    <row r="23" spans="1:10" x14ac:dyDescent="0.35">
      <c r="A23">
        <v>1</v>
      </c>
      <c r="B23" s="1">
        <v>40216</v>
      </c>
      <c r="C23">
        <v>1492418.14</v>
      </c>
      <c r="D23">
        <v>0</v>
      </c>
      <c r="E23">
        <v>80.91</v>
      </c>
      <c r="F23">
        <v>2.669</v>
      </c>
      <c r="G23">
        <v>211.22353330000001</v>
      </c>
      <c r="H23">
        <v>7.7869999999999999</v>
      </c>
    </row>
    <row r="24" spans="1:10" x14ac:dyDescent="0.35">
      <c r="A24">
        <v>1</v>
      </c>
      <c r="B24" s="1">
        <v>40428</v>
      </c>
      <c r="C24">
        <v>1546074.18</v>
      </c>
      <c r="D24">
        <v>0</v>
      </c>
      <c r="F24">
        <v>2.6419999999999999</v>
      </c>
      <c r="G24">
        <v>211.10841400000001</v>
      </c>
      <c r="H24">
        <v>7.7869999999999999</v>
      </c>
      <c r="J24" s="1"/>
    </row>
    <row r="25" spans="1:10" x14ac:dyDescent="0.35">
      <c r="A25">
        <v>1</v>
      </c>
      <c r="B25" t="s">
        <v>20</v>
      </c>
      <c r="C25">
        <v>1448938.92</v>
      </c>
      <c r="D25">
        <v>0</v>
      </c>
      <c r="E25">
        <v>83.15</v>
      </c>
      <c r="G25">
        <v>211.10038539999999</v>
      </c>
      <c r="H25">
        <v>7.7869999999999999</v>
      </c>
      <c r="J25" s="1"/>
    </row>
    <row r="26" spans="1:10" x14ac:dyDescent="0.35">
      <c r="A26">
        <v>1</v>
      </c>
      <c r="B26" t="s">
        <v>21</v>
      </c>
      <c r="C26">
        <v>1385065.2</v>
      </c>
      <c r="D26">
        <v>0</v>
      </c>
      <c r="E26">
        <v>83.36</v>
      </c>
      <c r="F26">
        <v>2.6080000000000001</v>
      </c>
      <c r="G26">
        <v>211.2351443</v>
      </c>
      <c r="H26">
        <v>7.7869999999999999</v>
      </c>
    </row>
    <row r="27" spans="1:10" x14ac:dyDescent="0.35">
      <c r="A27">
        <v>1</v>
      </c>
      <c r="B27" t="s">
        <v>22</v>
      </c>
      <c r="C27">
        <v>1371986.6</v>
      </c>
      <c r="D27">
        <v>0</v>
      </c>
      <c r="F27">
        <v>2.64</v>
      </c>
      <c r="G27">
        <v>211.36990320000001</v>
      </c>
      <c r="H27">
        <v>7.7869999999999999</v>
      </c>
    </row>
    <row r="28" spans="1:10" x14ac:dyDescent="0.35">
      <c r="A28">
        <v>1</v>
      </c>
      <c r="B28" s="1">
        <v>40337</v>
      </c>
      <c r="C28">
        <v>1605491.78</v>
      </c>
      <c r="D28">
        <v>0</v>
      </c>
      <c r="E28">
        <v>87.16</v>
      </c>
      <c r="F28">
        <v>2.6269999999999998</v>
      </c>
      <c r="G28">
        <v>211.50466209999999</v>
      </c>
      <c r="H28">
        <v>7.7869999999999999</v>
      </c>
    </row>
    <row r="29" spans="1:10" x14ac:dyDescent="0.35">
      <c r="A29">
        <v>1</v>
      </c>
      <c r="B29" t="s">
        <v>23</v>
      </c>
      <c r="C29">
        <v>1508237.76</v>
      </c>
      <c r="D29">
        <v>0</v>
      </c>
      <c r="E29">
        <v>87</v>
      </c>
      <c r="F29">
        <v>2.6920000000000002</v>
      </c>
      <c r="G29">
        <v>211.63942109999999</v>
      </c>
      <c r="H29">
        <v>7.7869999999999999</v>
      </c>
      <c r="J29" s="1"/>
    </row>
    <row r="30" spans="1:10" x14ac:dyDescent="0.35">
      <c r="A30">
        <v>1</v>
      </c>
      <c r="B30" t="s">
        <v>24</v>
      </c>
      <c r="C30">
        <v>1513080.49</v>
      </c>
      <c r="D30">
        <v>0</v>
      </c>
      <c r="E30">
        <v>86.65</v>
      </c>
      <c r="F30">
        <v>2.6640000000000001</v>
      </c>
      <c r="G30">
        <v>211.60336330000001</v>
      </c>
      <c r="H30">
        <v>7.7869999999999999</v>
      </c>
    </row>
    <row r="31" spans="1:10" x14ac:dyDescent="0.35">
      <c r="A31">
        <v>1</v>
      </c>
      <c r="B31" t="s">
        <v>25</v>
      </c>
      <c r="C31">
        <v>1449142.92</v>
      </c>
      <c r="D31">
        <v>0</v>
      </c>
      <c r="E31">
        <v>85.22</v>
      </c>
      <c r="F31">
        <v>2.6190000000000002</v>
      </c>
      <c r="G31">
        <v>211.5673056</v>
      </c>
      <c r="H31">
        <v>7.7869999999999999</v>
      </c>
    </row>
    <row r="32" spans="1:10" x14ac:dyDescent="0.35">
      <c r="A32">
        <v>1</v>
      </c>
      <c r="B32" s="1">
        <v>40246</v>
      </c>
      <c r="C32">
        <v>1540163.53</v>
      </c>
      <c r="D32">
        <v>0</v>
      </c>
      <c r="E32">
        <v>81.209999999999994</v>
      </c>
      <c r="G32">
        <v>211.53124790000001</v>
      </c>
      <c r="H32">
        <v>7.7869999999999999</v>
      </c>
    </row>
    <row r="33" spans="1:10" x14ac:dyDescent="0.35">
      <c r="A33">
        <v>1</v>
      </c>
      <c r="B33" s="1">
        <v>40460</v>
      </c>
      <c r="C33">
        <v>1507460.69</v>
      </c>
      <c r="D33" t="s">
        <v>99</v>
      </c>
      <c r="E33">
        <v>78.69</v>
      </c>
      <c r="F33">
        <v>2.5649999999999999</v>
      </c>
      <c r="H33">
        <v>7.7869999999999999</v>
      </c>
      <c r="J33" s="1"/>
    </row>
    <row r="34" spans="1:10" x14ac:dyDescent="0.35">
      <c r="A34">
        <v>1</v>
      </c>
      <c r="B34" t="s">
        <v>26</v>
      </c>
      <c r="C34">
        <v>1430378.67</v>
      </c>
      <c r="D34">
        <v>0</v>
      </c>
      <c r="E34">
        <v>82.11</v>
      </c>
      <c r="F34">
        <v>2.5819999999999999</v>
      </c>
      <c r="G34">
        <v>211.52245959999999</v>
      </c>
      <c r="J34" s="1"/>
    </row>
    <row r="35" spans="1:10" x14ac:dyDescent="0.35">
      <c r="A35">
        <v>1</v>
      </c>
      <c r="B35" t="s">
        <v>27</v>
      </c>
      <c r="C35">
        <v>1351791.03</v>
      </c>
      <c r="D35">
        <v>0</v>
      </c>
      <c r="E35">
        <v>80.94</v>
      </c>
      <c r="F35">
        <v>2.6240000000000001</v>
      </c>
      <c r="G35">
        <v>211.5972246</v>
      </c>
      <c r="H35">
        <v>7.7869999999999999</v>
      </c>
    </row>
    <row r="36" spans="1:10" x14ac:dyDescent="0.35">
      <c r="A36">
        <v>1</v>
      </c>
      <c r="B36" s="1">
        <v>40188</v>
      </c>
      <c r="C36">
        <v>1453329.5</v>
      </c>
      <c r="D36">
        <v>0</v>
      </c>
      <c r="G36">
        <v>211.6719895</v>
      </c>
      <c r="H36">
        <v>7.8380000000000001</v>
      </c>
    </row>
    <row r="37" spans="1:10" x14ac:dyDescent="0.35">
      <c r="A37">
        <v>1</v>
      </c>
      <c r="B37" s="1">
        <v>40400</v>
      </c>
      <c r="C37">
        <v>1508239.93</v>
      </c>
      <c r="D37">
        <v>0</v>
      </c>
      <c r="E37">
        <v>63.93</v>
      </c>
      <c r="F37">
        <v>2.633</v>
      </c>
      <c r="G37">
        <v>211.74675439999999</v>
      </c>
      <c r="H37">
        <v>7.8380000000000001</v>
      </c>
      <c r="J37" s="1"/>
    </row>
    <row r="38" spans="1:10" x14ac:dyDescent="0.35">
      <c r="A38">
        <v>1</v>
      </c>
      <c r="B38" t="s">
        <v>28</v>
      </c>
      <c r="C38">
        <v>1459409.1</v>
      </c>
      <c r="D38">
        <v>0</v>
      </c>
      <c r="E38">
        <v>67.180000000000007</v>
      </c>
      <c r="F38">
        <v>2.72</v>
      </c>
      <c r="G38">
        <v>211.81374360000001</v>
      </c>
      <c r="H38">
        <v>7.8380000000000001</v>
      </c>
      <c r="J38" s="1"/>
    </row>
    <row r="39" spans="1:10" x14ac:dyDescent="0.35">
      <c r="A39">
        <v>1</v>
      </c>
      <c r="B39" t="s">
        <v>29</v>
      </c>
      <c r="C39">
        <v>1345454</v>
      </c>
      <c r="D39">
        <v>0</v>
      </c>
      <c r="E39">
        <v>69.86</v>
      </c>
      <c r="F39">
        <v>2.7250000000000001</v>
      </c>
      <c r="G39">
        <v>211.8612937</v>
      </c>
      <c r="H39">
        <v>7.8380000000000001</v>
      </c>
    </row>
    <row r="40" spans="1:10" x14ac:dyDescent="0.35">
      <c r="A40">
        <v>1</v>
      </c>
      <c r="B40" t="s">
        <v>30</v>
      </c>
      <c r="C40">
        <v>1384209.22</v>
      </c>
      <c r="D40">
        <v>0</v>
      </c>
      <c r="F40">
        <v>2.7160000000000002</v>
      </c>
      <c r="G40">
        <v>211.9088438</v>
      </c>
      <c r="H40">
        <v>7.8380000000000001</v>
      </c>
    </row>
    <row r="41" spans="1:10" x14ac:dyDescent="0.35">
      <c r="A41">
        <v>1</v>
      </c>
      <c r="B41" s="1">
        <v>40309</v>
      </c>
      <c r="C41">
        <v>1551659.28</v>
      </c>
      <c r="D41">
        <v>0</v>
      </c>
      <c r="E41">
        <v>58.74</v>
      </c>
      <c r="G41">
        <v>211.95639389999999</v>
      </c>
      <c r="H41">
        <v>7.8380000000000001</v>
      </c>
    </row>
    <row r="42" spans="1:10" x14ac:dyDescent="0.35">
      <c r="A42">
        <v>1</v>
      </c>
      <c r="B42" s="1">
        <v>40523</v>
      </c>
      <c r="C42">
        <v>1494479.49</v>
      </c>
      <c r="D42">
        <v>0</v>
      </c>
      <c r="E42">
        <v>59.61</v>
      </c>
      <c r="F42">
        <v>2.7280000000000002</v>
      </c>
      <c r="G42">
        <v>212.00394399999999</v>
      </c>
      <c r="H42">
        <v>7.8380000000000001</v>
      </c>
      <c r="J42" s="1"/>
    </row>
    <row r="43" spans="1:10" x14ac:dyDescent="0.35">
      <c r="A43">
        <v>1</v>
      </c>
      <c r="B43" t="s">
        <v>31</v>
      </c>
      <c r="C43">
        <v>1483784.18</v>
      </c>
      <c r="D43">
        <v>0</v>
      </c>
      <c r="E43">
        <v>51.41</v>
      </c>
      <c r="F43">
        <v>2.7709999999999999</v>
      </c>
      <c r="G43">
        <v>211.8896737</v>
      </c>
      <c r="H43">
        <v>7.8380000000000001</v>
      </c>
      <c r="J43" s="1"/>
    </row>
    <row r="44" spans="1:10" x14ac:dyDescent="0.35">
      <c r="A44">
        <v>1</v>
      </c>
      <c r="B44" t="s">
        <v>32</v>
      </c>
      <c r="C44">
        <v>1955624.11</v>
      </c>
      <c r="D44">
        <v>1</v>
      </c>
      <c r="E44">
        <v>64.52</v>
      </c>
      <c r="F44">
        <v>2.7349999999999999</v>
      </c>
      <c r="G44">
        <v>211.74843329999999</v>
      </c>
      <c r="H44">
        <v>7.8380000000000001</v>
      </c>
    </row>
    <row r="45" spans="1:10" x14ac:dyDescent="0.35">
      <c r="A45">
        <v>1</v>
      </c>
      <c r="B45" s="1">
        <v>40249</v>
      </c>
      <c r="C45">
        <v>1548033.78</v>
      </c>
      <c r="D45">
        <v>0</v>
      </c>
      <c r="E45">
        <v>49.27</v>
      </c>
      <c r="F45">
        <v>2.7080000000000002</v>
      </c>
      <c r="G45">
        <v>211.607193</v>
      </c>
      <c r="H45">
        <v>7.8380000000000001</v>
      </c>
    </row>
    <row r="46" spans="1:10" x14ac:dyDescent="0.35">
      <c r="A46">
        <v>1</v>
      </c>
      <c r="B46" s="1">
        <v>40463</v>
      </c>
      <c r="C46">
        <v>1682614.26</v>
      </c>
      <c r="D46">
        <v>0</v>
      </c>
      <c r="E46">
        <v>46.33</v>
      </c>
      <c r="F46">
        <v>2.843</v>
      </c>
      <c r="G46">
        <v>211.46595260000001</v>
      </c>
      <c r="H46">
        <v>7.8380000000000001</v>
      </c>
      <c r="J46" s="1"/>
    </row>
    <row r="47" spans="1:10" x14ac:dyDescent="0.35">
      <c r="A47">
        <v>1</v>
      </c>
      <c r="B47" t="s">
        <v>33</v>
      </c>
      <c r="C47">
        <v>1891034.93</v>
      </c>
      <c r="D47">
        <v>0</v>
      </c>
      <c r="E47">
        <v>49.84</v>
      </c>
      <c r="F47">
        <v>2.8690000000000002</v>
      </c>
      <c r="G47">
        <v>211.40531240000001</v>
      </c>
      <c r="H47">
        <v>7.8380000000000001</v>
      </c>
      <c r="J47" s="1"/>
    </row>
    <row r="48" spans="1:10" x14ac:dyDescent="0.35">
      <c r="A48">
        <v>1</v>
      </c>
      <c r="B48" t="s">
        <v>34</v>
      </c>
      <c r="C48">
        <v>2387950.2000000002</v>
      </c>
      <c r="D48">
        <v>0</v>
      </c>
      <c r="E48">
        <v>52.33</v>
      </c>
      <c r="F48">
        <v>2.8860000000000001</v>
      </c>
      <c r="G48">
        <v>211.40512219999999</v>
      </c>
      <c r="H48">
        <v>7.8380000000000001</v>
      </c>
    </row>
    <row r="49" spans="1:10" x14ac:dyDescent="0.35">
      <c r="A49">
        <v>1</v>
      </c>
      <c r="B49" t="s">
        <v>35</v>
      </c>
      <c r="C49">
        <v>1367320.01</v>
      </c>
      <c r="D49" t="s">
        <v>94</v>
      </c>
      <c r="E49">
        <v>48.43</v>
      </c>
      <c r="F49">
        <v>2.9430000000000001</v>
      </c>
      <c r="G49">
        <v>211.4049321</v>
      </c>
      <c r="H49">
        <v>7.8380000000000001</v>
      </c>
    </row>
    <row r="50" spans="1:10" x14ac:dyDescent="0.35">
      <c r="A50">
        <v>1</v>
      </c>
      <c r="B50" s="1">
        <v>40725</v>
      </c>
      <c r="C50">
        <v>1444732.28</v>
      </c>
      <c r="D50">
        <v>0</v>
      </c>
      <c r="E50">
        <v>48.27</v>
      </c>
      <c r="F50">
        <v>2.976</v>
      </c>
      <c r="G50">
        <v>211.4047419</v>
      </c>
      <c r="H50">
        <v>7.742</v>
      </c>
    </row>
    <row r="51" spans="1:10" x14ac:dyDescent="0.35">
      <c r="A51">
        <v>1</v>
      </c>
      <c r="B51" t="s">
        <v>36</v>
      </c>
      <c r="C51">
        <v>1391013.96</v>
      </c>
      <c r="D51">
        <v>0</v>
      </c>
      <c r="F51">
        <v>2.9830000000000001</v>
      </c>
      <c r="G51">
        <v>211.45741090000001</v>
      </c>
      <c r="H51">
        <v>7.742</v>
      </c>
      <c r="J51" s="1"/>
    </row>
    <row r="52" spans="1:10" x14ac:dyDescent="0.35">
      <c r="A52">
        <v>1</v>
      </c>
      <c r="B52" t="s">
        <v>37</v>
      </c>
      <c r="C52">
        <v>1327405.42</v>
      </c>
      <c r="D52">
        <v>0</v>
      </c>
      <c r="E52">
        <v>44.04</v>
      </c>
      <c r="F52">
        <v>3.016</v>
      </c>
      <c r="G52">
        <v>211.82723429999999</v>
      </c>
      <c r="H52">
        <v>7.742</v>
      </c>
    </row>
    <row r="53" spans="1:10" x14ac:dyDescent="0.35">
      <c r="A53">
        <v>1</v>
      </c>
      <c r="B53" t="s">
        <v>38</v>
      </c>
      <c r="C53">
        <v>1316899.31</v>
      </c>
      <c r="D53">
        <v>0</v>
      </c>
      <c r="E53">
        <v>43.83</v>
      </c>
      <c r="F53">
        <v>3.01</v>
      </c>
      <c r="G53">
        <v>212.19705769999999</v>
      </c>
      <c r="H53">
        <v>7.742</v>
      </c>
    </row>
    <row r="54" spans="1:10" x14ac:dyDescent="0.35">
      <c r="A54">
        <v>1</v>
      </c>
      <c r="B54" s="1">
        <v>40635</v>
      </c>
      <c r="C54">
        <v>1606629.58</v>
      </c>
      <c r="D54">
        <v>0</v>
      </c>
      <c r="E54">
        <v>42.27</v>
      </c>
      <c r="G54">
        <v>212.56688120000001</v>
      </c>
      <c r="H54">
        <v>7.742</v>
      </c>
    </row>
    <row r="55" spans="1:10" x14ac:dyDescent="0.35">
      <c r="A55">
        <v>1</v>
      </c>
      <c r="B55" s="1">
        <v>40849</v>
      </c>
      <c r="C55">
        <v>1649614.93</v>
      </c>
      <c r="D55">
        <v>1</v>
      </c>
      <c r="E55">
        <v>36.39</v>
      </c>
      <c r="F55">
        <v>3.0219999999999998</v>
      </c>
      <c r="G55">
        <v>212.93670460000001</v>
      </c>
      <c r="H55">
        <v>7.742</v>
      </c>
      <c r="J55" s="1"/>
    </row>
    <row r="56" spans="1:10" x14ac:dyDescent="0.35">
      <c r="A56">
        <v>1</v>
      </c>
      <c r="B56" t="s">
        <v>39</v>
      </c>
      <c r="C56">
        <v>1686842.78</v>
      </c>
      <c r="D56">
        <v>0</v>
      </c>
      <c r="E56">
        <v>57.36</v>
      </c>
      <c r="F56">
        <v>3.0449999999999999</v>
      </c>
      <c r="G56">
        <v>213.24788530000001</v>
      </c>
      <c r="H56">
        <v>7.742</v>
      </c>
      <c r="J56" s="1"/>
    </row>
    <row r="57" spans="1:10" x14ac:dyDescent="0.35">
      <c r="A57">
        <v>1</v>
      </c>
      <c r="B57" t="s">
        <v>40</v>
      </c>
      <c r="C57">
        <v>1456800.28</v>
      </c>
      <c r="D57">
        <v>0</v>
      </c>
      <c r="E57">
        <v>62.9</v>
      </c>
      <c r="F57">
        <v>3.0649999999999999</v>
      </c>
      <c r="G57">
        <v>213.53560899999999</v>
      </c>
      <c r="H57">
        <v>7.742</v>
      </c>
    </row>
    <row r="58" spans="1:10" x14ac:dyDescent="0.35">
      <c r="A58">
        <v>1</v>
      </c>
      <c r="B58" s="1">
        <v>40636</v>
      </c>
      <c r="C58">
        <v>1636263.41</v>
      </c>
      <c r="D58">
        <v>0</v>
      </c>
      <c r="E58">
        <v>59.58</v>
      </c>
      <c r="F58">
        <v>3.2879999999999998</v>
      </c>
      <c r="G58">
        <v>213.82333270000001</v>
      </c>
      <c r="H58">
        <v>7.742</v>
      </c>
    </row>
    <row r="59" spans="1:10" x14ac:dyDescent="0.35">
      <c r="A59">
        <v>1</v>
      </c>
      <c r="B59" s="1">
        <v>40850</v>
      </c>
      <c r="C59">
        <v>1553191.63</v>
      </c>
      <c r="D59">
        <v>0</v>
      </c>
      <c r="F59">
        <v>3.4590000000000001</v>
      </c>
      <c r="H59">
        <v>7.742</v>
      </c>
      <c r="J59" s="1"/>
    </row>
    <row r="60" spans="1:10" x14ac:dyDescent="0.35">
      <c r="A60">
        <v>1</v>
      </c>
      <c r="B60" t="s">
        <v>41</v>
      </c>
      <c r="C60">
        <v>1576818.06</v>
      </c>
      <c r="D60">
        <v>0</v>
      </c>
      <c r="E60">
        <v>62.76</v>
      </c>
      <c r="F60">
        <v>3.488</v>
      </c>
      <c r="G60">
        <v>214.36271139999999</v>
      </c>
      <c r="H60">
        <v>7.742</v>
      </c>
      <c r="J60" s="1"/>
    </row>
    <row r="61" spans="1:10" x14ac:dyDescent="0.35">
      <c r="A61">
        <v>1</v>
      </c>
      <c r="B61" t="s">
        <v>42</v>
      </c>
      <c r="C61">
        <v>1541102.38</v>
      </c>
      <c r="D61">
        <v>0</v>
      </c>
      <c r="E61">
        <v>69.97</v>
      </c>
      <c r="F61">
        <v>3.4729999999999999</v>
      </c>
      <c r="G61">
        <v>214.59993890000001</v>
      </c>
      <c r="H61">
        <v>7.742</v>
      </c>
    </row>
    <row r="62" spans="1:10" x14ac:dyDescent="0.35">
      <c r="A62">
        <v>1</v>
      </c>
      <c r="B62" s="1">
        <v>40547</v>
      </c>
      <c r="C62">
        <v>-1495064.75</v>
      </c>
      <c r="D62">
        <v>0</v>
      </c>
      <c r="E62">
        <v>59.17</v>
      </c>
      <c r="F62">
        <v>3.524</v>
      </c>
      <c r="G62">
        <v>214.8371664</v>
      </c>
      <c r="H62">
        <v>7.6820000000000004</v>
      </c>
    </row>
    <row r="63" spans="1:10" x14ac:dyDescent="0.35">
      <c r="A63">
        <v>1</v>
      </c>
      <c r="B63" s="1">
        <v>40759</v>
      </c>
      <c r="C63">
        <v>1614259.35</v>
      </c>
      <c r="D63">
        <v>0</v>
      </c>
      <c r="E63">
        <v>67.84</v>
      </c>
      <c r="F63">
        <v>3.6219999999999999</v>
      </c>
      <c r="G63">
        <v>215.07439389999999</v>
      </c>
      <c r="H63">
        <v>7.6820000000000004</v>
      </c>
      <c r="J63" s="1"/>
    </row>
    <row r="64" spans="1:10" x14ac:dyDescent="0.35">
      <c r="A64">
        <v>1</v>
      </c>
      <c r="B64" t="s">
        <v>43</v>
      </c>
      <c r="C64">
        <v>1559889</v>
      </c>
      <c r="D64">
        <v>0</v>
      </c>
      <c r="E64">
        <v>71.27</v>
      </c>
      <c r="F64">
        <v>3.7429999999999999</v>
      </c>
      <c r="G64">
        <v>215.29185609999999</v>
      </c>
      <c r="H64">
        <v>7.6820000000000004</v>
      </c>
      <c r="J64" s="1"/>
    </row>
    <row r="65" spans="1:10" x14ac:dyDescent="0.35">
      <c r="A65">
        <v>1</v>
      </c>
      <c r="B65" t="s">
        <v>44</v>
      </c>
      <c r="C65">
        <v>1564819.81</v>
      </c>
      <c r="D65">
        <v>0</v>
      </c>
      <c r="E65">
        <v>72.989999999999995</v>
      </c>
      <c r="F65">
        <v>3.8069999999999999</v>
      </c>
      <c r="G65">
        <v>215.4599053</v>
      </c>
      <c r="H65">
        <v>7.6820000000000004</v>
      </c>
    </row>
    <row r="66" spans="1:10" x14ac:dyDescent="0.35">
      <c r="A66">
        <v>1</v>
      </c>
      <c r="B66" t="s">
        <v>45</v>
      </c>
      <c r="C66">
        <v>1455090.69</v>
      </c>
      <c r="D66">
        <v>0</v>
      </c>
      <c r="E66">
        <v>72.03</v>
      </c>
      <c r="F66">
        <v>3.81</v>
      </c>
      <c r="G66">
        <v>215.62795439999999</v>
      </c>
      <c r="H66">
        <v>7.6820000000000004</v>
      </c>
    </row>
    <row r="67" spans="1:10" x14ac:dyDescent="0.35">
      <c r="A67">
        <v>1</v>
      </c>
      <c r="B67" s="1">
        <v>40699</v>
      </c>
      <c r="C67">
        <v>1629391.28</v>
      </c>
      <c r="D67" t="s">
        <v>97</v>
      </c>
      <c r="E67">
        <v>64.61</v>
      </c>
      <c r="F67">
        <v>3.9060000000000001</v>
      </c>
      <c r="G67">
        <v>215.79600350000001</v>
      </c>
      <c r="H67">
        <v>7.6820000000000004</v>
      </c>
    </row>
    <row r="68" spans="1:10" x14ac:dyDescent="0.35">
      <c r="A68">
        <v>1</v>
      </c>
      <c r="B68" t="s">
        <v>46</v>
      </c>
      <c r="C68">
        <v>1604775.58</v>
      </c>
      <c r="D68">
        <v>0</v>
      </c>
      <c r="E68">
        <v>75.64</v>
      </c>
      <c r="F68">
        <v>3.899</v>
      </c>
      <c r="G68">
        <v>215.9640526</v>
      </c>
      <c r="H68">
        <v>7.6820000000000004</v>
      </c>
      <c r="J68" s="1"/>
    </row>
    <row r="69" spans="1:10" x14ac:dyDescent="0.35">
      <c r="A69">
        <v>1</v>
      </c>
      <c r="B69" t="s">
        <v>47</v>
      </c>
      <c r="C69">
        <v>1428218.27</v>
      </c>
      <c r="D69">
        <v>0</v>
      </c>
      <c r="E69">
        <v>67.63</v>
      </c>
      <c r="F69">
        <v>3.907</v>
      </c>
      <c r="G69">
        <v>215.7339202</v>
      </c>
      <c r="H69">
        <v>7.6820000000000004</v>
      </c>
    </row>
    <row r="70" spans="1:10" x14ac:dyDescent="0.35">
      <c r="A70">
        <v>1</v>
      </c>
      <c r="B70" t="s">
        <v>48</v>
      </c>
      <c r="C70">
        <v>1466046.67</v>
      </c>
      <c r="D70">
        <v>0</v>
      </c>
      <c r="E70">
        <v>77.72</v>
      </c>
      <c r="F70">
        <v>3.786</v>
      </c>
      <c r="G70">
        <v>215.5037878</v>
      </c>
      <c r="H70">
        <v>7.6820000000000004</v>
      </c>
    </row>
    <row r="71" spans="1:10" x14ac:dyDescent="0.35">
      <c r="A71">
        <v>1</v>
      </c>
      <c r="B71" s="1">
        <v>40608</v>
      </c>
      <c r="C71">
        <v>1635078.41</v>
      </c>
      <c r="D71">
        <v>0</v>
      </c>
      <c r="E71">
        <v>83</v>
      </c>
      <c r="F71">
        <v>3.6989999999999998</v>
      </c>
      <c r="G71">
        <v>215.2736553</v>
      </c>
      <c r="H71">
        <v>7.6820000000000004</v>
      </c>
    </row>
    <row r="72" spans="1:10" x14ac:dyDescent="0.35">
      <c r="A72">
        <v>1</v>
      </c>
      <c r="B72" s="1">
        <v>40822</v>
      </c>
      <c r="C72">
        <v>1588948.32</v>
      </c>
      <c r="D72">
        <v>0</v>
      </c>
      <c r="E72">
        <v>83.13</v>
      </c>
      <c r="F72">
        <v>3.6480000000000001</v>
      </c>
      <c r="G72">
        <v>215.0435229</v>
      </c>
      <c r="H72">
        <v>7.6820000000000004</v>
      </c>
      <c r="J72" s="1"/>
    </row>
    <row r="73" spans="1:10" x14ac:dyDescent="0.35">
      <c r="A73">
        <v>1</v>
      </c>
      <c r="B73" t="s">
        <v>49</v>
      </c>
      <c r="C73">
        <v>1532114.86</v>
      </c>
      <c r="D73">
        <v>0</v>
      </c>
      <c r="E73">
        <v>86.41</v>
      </c>
      <c r="F73">
        <v>3.637</v>
      </c>
      <c r="G73">
        <v>214.9980596</v>
      </c>
      <c r="H73">
        <v>7.6820000000000004</v>
      </c>
      <c r="J73" s="1"/>
    </row>
    <row r="74" spans="1:10" x14ac:dyDescent="0.35">
      <c r="A74">
        <v>1</v>
      </c>
      <c r="B74" t="s">
        <v>50</v>
      </c>
      <c r="C74">
        <v>1438830.15</v>
      </c>
      <c r="D74">
        <v>0</v>
      </c>
      <c r="E74">
        <v>83.58</v>
      </c>
      <c r="F74">
        <v>3.5939999999999999</v>
      </c>
      <c r="G74">
        <v>215.0910982</v>
      </c>
      <c r="H74">
        <v>7.6820000000000004</v>
      </c>
    </row>
    <row r="75" spans="1:10" x14ac:dyDescent="0.35">
      <c r="A75">
        <v>1</v>
      </c>
      <c r="B75" s="1">
        <v>40550</v>
      </c>
      <c r="C75">
        <v>1488538.09</v>
      </c>
      <c r="D75">
        <v>0</v>
      </c>
      <c r="E75">
        <v>85.55</v>
      </c>
      <c r="F75">
        <v>3.524</v>
      </c>
      <c r="G75">
        <v>215.1841368</v>
      </c>
      <c r="H75">
        <v>7.9619999999999997</v>
      </c>
    </row>
    <row r="76" spans="1:10" x14ac:dyDescent="0.35">
      <c r="A76">
        <v>1</v>
      </c>
      <c r="B76" s="1">
        <v>40762</v>
      </c>
      <c r="C76">
        <v>1534849.64</v>
      </c>
      <c r="D76">
        <v>0</v>
      </c>
      <c r="E76">
        <v>85.83</v>
      </c>
      <c r="F76">
        <v>3.48</v>
      </c>
      <c r="G76">
        <v>215.2771754</v>
      </c>
      <c r="H76">
        <v>7.9619999999999997</v>
      </c>
      <c r="J76" s="1"/>
    </row>
    <row r="77" spans="1:10" x14ac:dyDescent="0.35">
      <c r="A77">
        <v>1</v>
      </c>
      <c r="B77" t="s">
        <v>51</v>
      </c>
      <c r="C77">
        <v>1455119.97</v>
      </c>
      <c r="D77">
        <v>0</v>
      </c>
      <c r="E77">
        <v>88.54</v>
      </c>
      <c r="F77">
        <v>3.5750000000000002</v>
      </c>
      <c r="G77">
        <v>215.36110869999999</v>
      </c>
      <c r="H77">
        <v>7.9619999999999997</v>
      </c>
      <c r="J77" s="1"/>
    </row>
    <row r="78" spans="1:10" x14ac:dyDescent="0.35">
      <c r="A78">
        <v>1</v>
      </c>
      <c r="B78" t="s">
        <v>52</v>
      </c>
      <c r="C78">
        <v>1396926.82</v>
      </c>
      <c r="D78">
        <v>0</v>
      </c>
      <c r="E78">
        <v>85.77</v>
      </c>
      <c r="F78">
        <v>3.6509999999999998</v>
      </c>
      <c r="G78">
        <v>215.42227840000001</v>
      </c>
      <c r="H78">
        <v>7.9619999999999997</v>
      </c>
    </row>
    <row r="79" spans="1:10" x14ac:dyDescent="0.35">
      <c r="A79">
        <v>1</v>
      </c>
      <c r="B79" t="s">
        <v>53</v>
      </c>
      <c r="C79">
        <v>1352219.79</v>
      </c>
      <c r="D79">
        <v>0</v>
      </c>
      <c r="E79">
        <v>86.83</v>
      </c>
      <c r="F79">
        <v>3.6819999999999999</v>
      </c>
      <c r="G79">
        <v>215.4834482</v>
      </c>
      <c r="H79">
        <v>7.9619999999999997</v>
      </c>
    </row>
    <row r="80" spans="1:10" x14ac:dyDescent="0.35">
      <c r="A80">
        <v>1</v>
      </c>
      <c r="B80" s="1">
        <v>40671</v>
      </c>
      <c r="C80">
        <v>1624383.75</v>
      </c>
      <c r="D80">
        <v>0</v>
      </c>
      <c r="E80">
        <v>91.65</v>
      </c>
      <c r="F80">
        <v>3.6840000000000002</v>
      </c>
      <c r="G80">
        <v>215.54461800000001</v>
      </c>
      <c r="H80">
        <v>7.9619999999999997</v>
      </c>
    </row>
    <row r="81" spans="1:10" x14ac:dyDescent="0.35">
      <c r="A81">
        <v>1</v>
      </c>
      <c r="B81" s="1">
        <v>40885</v>
      </c>
      <c r="C81">
        <v>1525147.09</v>
      </c>
      <c r="D81">
        <v>0</v>
      </c>
      <c r="E81">
        <v>90.76</v>
      </c>
      <c r="F81">
        <v>3.6379999999999999</v>
      </c>
      <c r="G81">
        <v>215.6057878</v>
      </c>
      <c r="H81">
        <v>7.9619999999999997</v>
      </c>
      <c r="J81" s="1"/>
    </row>
    <row r="82" spans="1:10" x14ac:dyDescent="0.35">
      <c r="A82">
        <v>1</v>
      </c>
      <c r="B82" t="s">
        <v>54</v>
      </c>
      <c r="C82">
        <v>1530761.43</v>
      </c>
      <c r="D82">
        <v>0</v>
      </c>
      <c r="E82">
        <v>89.94</v>
      </c>
      <c r="F82">
        <v>3.5539999999999998</v>
      </c>
      <c r="G82">
        <v>215.66931070000001</v>
      </c>
      <c r="H82">
        <v>7.9619999999999997</v>
      </c>
      <c r="J82" s="1"/>
    </row>
    <row r="83" spans="1:10" x14ac:dyDescent="0.35">
      <c r="A83">
        <v>1</v>
      </c>
      <c r="B83" t="s">
        <v>55</v>
      </c>
      <c r="C83">
        <v>1464693.46</v>
      </c>
      <c r="D83">
        <v>0</v>
      </c>
      <c r="E83">
        <v>87.96</v>
      </c>
      <c r="F83">
        <v>3.5230000000000001</v>
      </c>
      <c r="G83">
        <v>215.73322580000001</v>
      </c>
      <c r="H83">
        <v>7.9619999999999997</v>
      </c>
    </row>
    <row r="84" spans="1:10" x14ac:dyDescent="0.35">
      <c r="A84">
        <v>1</v>
      </c>
      <c r="B84" s="1">
        <v>40583</v>
      </c>
      <c r="C84">
        <v>1550229.22</v>
      </c>
      <c r="D84">
        <v>0</v>
      </c>
      <c r="E84">
        <v>87.83</v>
      </c>
      <c r="F84">
        <v>3.5329999999999999</v>
      </c>
      <c r="G84">
        <v>215.79714089999999</v>
      </c>
      <c r="H84">
        <v>7.9619999999999997</v>
      </c>
    </row>
    <row r="85" spans="1:10" x14ac:dyDescent="0.35">
      <c r="A85">
        <v>1</v>
      </c>
      <c r="B85" s="1">
        <v>40795</v>
      </c>
      <c r="C85">
        <v>1540471.24</v>
      </c>
      <c r="D85">
        <v>1</v>
      </c>
      <c r="E85">
        <v>76</v>
      </c>
      <c r="F85">
        <v>3.5459999999999998</v>
      </c>
      <c r="G85">
        <v>215.86105599999999</v>
      </c>
      <c r="H85">
        <v>7.9619999999999997</v>
      </c>
      <c r="J85" s="1"/>
    </row>
    <row r="86" spans="1:10" x14ac:dyDescent="0.35">
      <c r="A86">
        <v>1</v>
      </c>
      <c r="B86" t="s">
        <v>56</v>
      </c>
      <c r="C86">
        <v>1514259.78</v>
      </c>
      <c r="D86">
        <v>0</v>
      </c>
      <c r="E86">
        <v>79.94</v>
      </c>
      <c r="F86">
        <v>3.5259999999999998</v>
      </c>
      <c r="G86">
        <v>216.0410526</v>
      </c>
      <c r="H86">
        <v>7.9619999999999997</v>
      </c>
      <c r="J86" s="1"/>
    </row>
    <row r="87" spans="1:10" x14ac:dyDescent="0.35">
      <c r="A87">
        <v>1</v>
      </c>
      <c r="B87" t="s">
        <v>57</v>
      </c>
      <c r="C87">
        <v>1380020.27</v>
      </c>
      <c r="D87">
        <v>0</v>
      </c>
      <c r="E87">
        <v>75.8</v>
      </c>
      <c r="F87">
        <v>3.4670000000000001</v>
      </c>
      <c r="G87">
        <v>216.37582459999999</v>
      </c>
      <c r="H87">
        <v>7.9619999999999997</v>
      </c>
    </row>
    <row r="88" spans="1:10" x14ac:dyDescent="0.35">
      <c r="A88">
        <v>1</v>
      </c>
      <c r="B88" t="s">
        <v>58</v>
      </c>
      <c r="C88">
        <v>1394561.83</v>
      </c>
      <c r="D88">
        <v>0</v>
      </c>
      <c r="E88">
        <v>79.69</v>
      </c>
      <c r="F88">
        <v>3.355</v>
      </c>
      <c r="G88">
        <v>216.71059650000001</v>
      </c>
      <c r="H88">
        <v>7.9619999999999997</v>
      </c>
    </row>
    <row r="89" spans="1:10" x14ac:dyDescent="0.35">
      <c r="A89">
        <v>1</v>
      </c>
      <c r="B89" s="1">
        <v>40734</v>
      </c>
      <c r="C89">
        <v>1630989.95</v>
      </c>
      <c r="D89">
        <v>0</v>
      </c>
      <c r="E89">
        <v>69.31</v>
      </c>
      <c r="F89">
        <v>3.2850000000000001</v>
      </c>
      <c r="G89">
        <v>217.0453684</v>
      </c>
      <c r="H89">
        <v>7.8659999999999997</v>
      </c>
    </row>
    <row r="90" spans="1:10" x14ac:dyDescent="0.35">
      <c r="A90">
        <v>1</v>
      </c>
      <c r="B90" t="s">
        <v>59</v>
      </c>
      <c r="C90">
        <v>1493525.93</v>
      </c>
      <c r="D90">
        <v>0</v>
      </c>
      <c r="E90">
        <v>71.739999999999995</v>
      </c>
      <c r="F90">
        <v>3.274</v>
      </c>
      <c r="G90">
        <v>217.35527329999999</v>
      </c>
      <c r="H90">
        <v>7.8659999999999997</v>
      </c>
      <c r="J90" s="1"/>
    </row>
    <row r="91" spans="1:10" x14ac:dyDescent="0.35">
      <c r="A91">
        <v>1</v>
      </c>
      <c r="B91" t="s">
        <v>60</v>
      </c>
      <c r="C91">
        <v>1502562.78</v>
      </c>
      <c r="D91">
        <v>0</v>
      </c>
      <c r="E91">
        <v>63.71</v>
      </c>
      <c r="F91">
        <v>3.3530000000000002</v>
      </c>
      <c r="G91">
        <v>217.51597620000001</v>
      </c>
      <c r="H91">
        <v>7.8659999999999997</v>
      </c>
    </row>
    <row r="92" spans="1:10" x14ac:dyDescent="0.35">
      <c r="A92">
        <v>1</v>
      </c>
      <c r="B92" t="s">
        <v>61</v>
      </c>
      <c r="C92">
        <v>-1445249.09</v>
      </c>
      <c r="D92">
        <v>0</v>
      </c>
      <c r="E92">
        <v>66.569999999999993</v>
      </c>
      <c r="F92">
        <v>3.3719999999999999</v>
      </c>
      <c r="G92">
        <v>217.6766791</v>
      </c>
      <c r="H92">
        <v>7.8659999999999997</v>
      </c>
    </row>
    <row r="93" spans="1:10" x14ac:dyDescent="0.35">
      <c r="A93">
        <v>1</v>
      </c>
      <c r="B93" s="1">
        <v>40644</v>
      </c>
      <c r="C93">
        <v>1697229.58</v>
      </c>
      <c r="D93">
        <v>0</v>
      </c>
      <c r="E93">
        <v>54.98</v>
      </c>
      <c r="F93">
        <v>3.3319999999999999</v>
      </c>
      <c r="G93">
        <v>217.83738199999999</v>
      </c>
      <c r="H93">
        <v>7.8659999999999997</v>
      </c>
    </row>
    <row r="94" spans="1:10" x14ac:dyDescent="0.35">
      <c r="A94">
        <v>1</v>
      </c>
      <c r="B94" s="1">
        <v>40858</v>
      </c>
      <c r="C94">
        <v>1594938.89</v>
      </c>
      <c r="D94">
        <v>0</v>
      </c>
      <c r="E94">
        <v>59.11</v>
      </c>
      <c r="F94">
        <v>3.2970000000000002</v>
      </c>
      <c r="G94">
        <v>217.99808490000001</v>
      </c>
      <c r="H94">
        <v>7.8659999999999997</v>
      </c>
      <c r="J94" s="1"/>
    </row>
    <row r="95" spans="1:10" x14ac:dyDescent="0.35">
      <c r="A95">
        <v>1</v>
      </c>
      <c r="B95" t="s">
        <v>62</v>
      </c>
      <c r="C95">
        <v>-1539483.7</v>
      </c>
      <c r="D95">
        <v>0</v>
      </c>
      <c r="E95">
        <v>62.25</v>
      </c>
      <c r="F95">
        <v>3.3079999999999998</v>
      </c>
      <c r="G95">
        <v>218.2205088</v>
      </c>
      <c r="H95">
        <v>7.8659999999999997</v>
      </c>
      <c r="J95" s="1"/>
    </row>
    <row r="96" spans="1:10" x14ac:dyDescent="0.35">
      <c r="A96">
        <v>1</v>
      </c>
      <c r="B96" t="s">
        <v>63</v>
      </c>
      <c r="C96">
        <v>2033320.66</v>
      </c>
      <c r="D96">
        <v>1</v>
      </c>
      <c r="E96">
        <v>60.14</v>
      </c>
      <c r="F96">
        <v>3.2360000000000002</v>
      </c>
      <c r="G96">
        <v>218.4676211</v>
      </c>
      <c r="H96">
        <v>7.8659999999999997</v>
      </c>
    </row>
    <row r="97" spans="1:10" x14ac:dyDescent="0.35">
      <c r="A97">
        <v>1</v>
      </c>
      <c r="B97" s="1">
        <v>40586</v>
      </c>
      <c r="C97">
        <v>1584083.95</v>
      </c>
      <c r="D97">
        <v>0</v>
      </c>
      <c r="E97">
        <v>48.91</v>
      </c>
      <c r="F97">
        <v>3.1720000000000002</v>
      </c>
      <c r="G97">
        <v>218.71473330000001</v>
      </c>
      <c r="H97">
        <v>7.8659999999999997</v>
      </c>
    </row>
    <row r="98" spans="1:10" x14ac:dyDescent="0.35">
      <c r="A98">
        <v>1</v>
      </c>
      <c r="B98" s="1">
        <v>40798</v>
      </c>
      <c r="C98">
        <v>1799682.38</v>
      </c>
      <c r="D98">
        <v>0</v>
      </c>
      <c r="E98">
        <v>43.93</v>
      </c>
      <c r="F98">
        <v>3.1579999999999999</v>
      </c>
      <c r="G98">
        <v>218.9618456</v>
      </c>
      <c r="H98">
        <v>7.8659999999999997</v>
      </c>
      <c r="J98" s="1"/>
    </row>
    <row r="99" spans="1:10" x14ac:dyDescent="0.35">
      <c r="A99">
        <v>1</v>
      </c>
      <c r="B99" t="s">
        <v>64</v>
      </c>
      <c r="C99">
        <v>1881176.67</v>
      </c>
      <c r="D99">
        <v>0</v>
      </c>
      <c r="E99">
        <v>51.63</v>
      </c>
      <c r="F99">
        <v>3.1589999999999998</v>
      </c>
      <c r="G99">
        <v>219.17945330000001</v>
      </c>
      <c r="H99">
        <v>7.8659999999999997</v>
      </c>
      <c r="J99" s="1"/>
    </row>
    <row r="100" spans="1:10" x14ac:dyDescent="0.35">
      <c r="A100">
        <v>1</v>
      </c>
      <c r="B100" t="s">
        <v>65</v>
      </c>
      <c r="C100">
        <v>2270188.9900000002</v>
      </c>
      <c r="D100">
        <v>0</v>
      </c>
      <c r="E100">
        <v>47.96</v>
      </c>
      <c r="F100">
        <v>3.1120000000000001</v>
      </c>
      <c r="G100">
        <v>219.35772159999999</v>
      </c>
      <c r="H100">
        <v>7.8659999999999997</v>
      </c>
    </row>
    <row r="101" spans="1:10" x14ac:dyDescent="0.35">
      <c r="A101">
        <v>1</v>
      </c>
      <c r="B101" t="s">
        <v>66</v>
      </c>
      <c r="C101">
        <v>1497462.72</v>
      </c>
      <c r="D101">
        <v>0</v>
      </c>
      <c r="E101">
        <v>44.55</v>
      </c>
      <c r="F101">
        <v>3.129</v>
      </c>
      <c r="G101">
        <v>219.53598980000001</v>
      </c>
      <c r="H101">
        <v>7.8659999999999997</v>
      </c>
    </row>
    <row r="102" spans="1:10" x14ac:dyDescent="0.35">
      <c r="A102">
        <v>1</v>
      </c>
      <c r="B102" s="1">
        <v>41061</v>
      </c>
      <c r="C102">
        <v>1550369.92</v>
      </c>
      <c r="D102">
        <v>0</v>
      </c>
      <c r="E102">
        <v>49.01</v>
      </c>
      <c r="F102">
        <v>3.157</v>
      </c>
      <c r="G102">
        <v>219.7142581</v>
      </c>
      <c r="H102">
        <v>7.3479999999999999</v>
      </c>
    </row>
    <row r="103" spans="1:10" x14ac:dyDescent="0.35">
      <c r="A103">
        <v>1</v>
      </c>
      <c r="B103" t="s">
        <v>67</v>
      </c>
      <c r="C103">
        <v>1459601.17</v>
      </c>
      <c r="D103">
        <v>0</v>
      </c>
      <c r="E103">
        <v>48.53</v>
      </c>
      <c r="F103">
        <v>3.2610000000000001</v>
      </c>
      <c r="G103">
        <v>219.89252629999999</v>
      </c>
      <c r="H103">
        <v>7.3479999999999999</v>
      </c>
      <c r="J103" s="1"/>
    </row>
    <row r="104" spans="1:10" x14ac:dyDescent="0.35">
      <c r="A104">
        <v>1</v>
      </c>
      <c r="B104" t="s">
        <v>68</v>
      </c>
      <c r="C104">
        <v>1394393.84</v>
      </c>
      <c r="D104">
        <v>0</v>
      </c>
      <c r="E104">
        <v>54.11</v>
      </c>
      <c r="F104">
        <v>3.2679999999999998</v>
      </c>
      <c r="G104">
        <v>219.98568929999999</v>
      </c>
      <c r="H104">
        <v>7.3479999999999999</v>
      </c>
    </row>
    <row r="105" spans="1:10" x14ac:dyDescent="0.35">
      <c r="A105">
        <v>1</v>
      </c>
      <c r="B105" t="s">
        <v>69</v>
      </c>
      <c r="C105">
        <v>1319325.5900000001</v>
      </c>
      <c r="D105">
        <v>0</v>
      </c>
      <c r="E105">
        <v>54.26</v>
      </c>
      <c r="F105">
        <v>3.29</v>
      </c>
      <c r="G105">
        <v>220.07885229999999</v>
      </c>
      <c r="H105">
        <v>7.3479999999999999</v>
      </c>
    </row>
    <row r="106" spans="1:10" x14ac:dyDescent="0.35">
      <c r="A106">
        <v>1</v>
      </c>
      <c r="B106" s="1">
        <v>40970</v>
      </c>
      <c r="C106">
        <v>1636339.65</v>
      </c>
      <c r="D106">
        <v>0</v>
      </c>
      <c r="E106">
        <v>56.55</v>
      </c>
      <c r="F106">
        <v>3.36</v>
      </c>
      <c r="G106">
        <v>220.1720153</v>
      </c>
      <c r="H106">
        <v>7.3479999999999999</v>
      </c>
    </row>
    <row r="107" spans="1:10" x14ac:dyDescent="0.35">
      <c r="A107">
        <v>1</v>
      </c>
      <c r="B107" s="1">
        <v>41184</v>
      </c>
      <c r="C107">
        <v>1802477.43</v>
      </c>
      <c r="D107">
        <v>1</v>
      </c>
      <c r="E107">
        <v>48.02</v>
      </c>
      <c r="F107">
        <v>3.4089999999999998</v>
      </c>
      <c r="G107">
        <v>220.2651783</v>
      </c>
      <c r="H107">
        <v>7.3479999999999999</v>
      </c>
      <c r="J107" s="1"/>
    </row>
    <row r="108" spans="1:10" x14ac:dyDescent="0.35">
      <c r="A108">
        <v>1</v>
      </c>
      <c r="B108" t="s">
        <v>70</v>
      </c>
      <c r="C108">
        <v>1819870</v>
      </c>
      <c r="D108">
        <v>0</v>
      </c>
      <c r="E108">
        <v>45.32</v>
      </c>
      <c r="F108">
        <v>3.51</v>
      </c>
      <c r="G108">
        <v>220.42575859999999</v>
      </c>
      <c r="H108">
        <v>7.3479999999999999</v>
      </c>
      <c r="J108" s="1"/>
    </row>
    <row r="109" spans="1:10" x14ac:dyDescent="0.35">
      <c r="A109">
        <v>1</v>
      </c>
      <c r="B109" t="s">
        <v>71</v>
      </c>
      <c r="C109">
        <v>1539387.83</v>
      </c>
      <c r="D109">
        <v>0</v>
      </c>
      <c r="E109">
        <v>57.25</v>
      </c>
      <c r="F109">
        <v>3.5550000000000002</v>
      </c>
      <c r="G109">
        <v>220.63690199999999</v>
      </c>
      <c r="H109">
        <v>7.3479999999999999</v>
      </c>
    </row>
    <row r="110" spans="1:10" x14ac:dyDescent="0.35">
      <c r="A110">
        <v>1</v>
      </c>
      <c r="B110" s="1">
        <v>40942</v>
      </c>
      <c r="C110">
        <v>1688420.76</v>
      </c>
      <c r="D110">
        <v>0</v>
      </c>
      <c r="E110">
        <v>-60.96</v>
      </c>
      <c r="F110">
        <v>3.63</v>
      </c>
      <c r="G110">
        <v>220.84804539999999</v>
      </c>
      <c r="H110">
        <v>7.3479999999999999</v>
      </c>
    </row>
    <row r="111" spans="1:10" x14ac:dyDescent="0.35">
      <c r="A111">
        <v>1</v>
      </c>
      <c r="B111" s="1">
        <v>41155</v>
      </c>
      <c r="C111">
        <v>1675431.16</v>
      </c>
      <c r="D111">
        <v>0</v>
      </c>
      <c r="E111">
        <v>58.76</v>
      </c>
      <c r="F111">
        <v>3.669</v>
      </c>
      <c r="G111">
        <v>221.05918869999999</v>
      </c>
      <c r="H111">
        <v>7.3479999999999999</v>
      </c>
      <c r="J111" s="1"/>
    </row>
    <row r="112" spans="1:10" x14ac:dyDescent="0.35">
      <c r="A112">
        <v>1</v>
      </c>
      <c r="B112" t="s">
        <v>72</v>
      </c>
      <c r="C112">
        <v>1677472.78</v>
      </c>
      <c r="D112">
        <v>0</v>
      </c>
      <c r="E112">
        <v>64.739999999999995</v>
      </c>
      <c r="F112">
        <v>3.734</v>
      </c>
      <c r="G112">
        <v>221.21181319999999</v>
      </c>
      <c r="H112">
        <v>7.3479999999999999</v>
      </c>
      <c r="J112" s="1"/>
    </row>
    <row r="113" spans="1:10" x14ac:dyDescent="0.35">
      <c r="A113">
        <v>1</v>
      </c>
      <c r="B113" t="s">
        <v>73</v>
      </c>
      <c r="C113">
        <v>1511068.07</v>
      </c>
      <c r="D113">
        <v>0</v>
      </c>
      <c r="E113">
        <v>65.930000000000007</v>
      </c>
      <c r="F113">
        <v>3.7869999999999999</v>
      </c>
      <c r="G113">
        <v>221.28641260000001</v>
      </c>
      <c r="H113">
        <v>7.3479999999999999</v>
      </c>
    </row>
    <row r="114" spans="1:10" x14ac:dyDescent="0.35">
      <c r="A114">
        <v>1</v>
      </c>
      <c r="B114" t="s">
        <v>74</v>
      </c>
      <c r="C114">
        <v>1649604.63</v>
      </c>
      <c r="D114">
        <v>0</v>
      </c>
      <c r="E114">
        <v>67.61</v>
      </c>
      <c r="F114">
        <v>3.8450000000000002</v>
      </c>
      <c r="G114">
        <v>221.36101189999999</v>
      </c>
      <c r="H114">
        <v>7.3479999999999999</v>
      </c>
    </row>
    <row r="115" spans="1:10" x14ac:dyDescent="0.35">
      <c r="A115">
        <v>1</v>
      </c>
      <c r="B115" s="1">
        <v>41064</v>
      </c>
      <c r="C115">
        <v>1899676.88</v>
      </c>
      <c r="D115">
        <v>0</v>
      </c>
      <c r="E115">
        <v>70.430000000000007</v>
      </c>
      <c r="F115">
        <v>3.891</v>
      </c>
      <c r="G115">
        <v>221.43561120000001</v>
      </c>
      <c r="H115">
        <v>7.1429999999999998</v>
      </c>
    </row>
    <row r="116" spans="1:10" x14ac:dyDescent="0.35">
      <c r="A116">
        <v>1</v>
      </c>
      <c r="B116" t="s">
        <v>75</v>
      </c>
      <c r="C116">
        <v>1621031.7</v>
      </c>
      <c r="D116">
        <v>0</v>
      </c>
      <c r="E116">
        <v>69.069999999999993</v>
      </c>
      <c r="F116">
        <v>3.891</v>
      </c>
      <c r="G116">
        <v>221.5102105</v>
      </c>
      <c r="H116">
        <v>7.1429999999999998</v>
      </c>
      <c r="J116" s="1"/>
    </row>
    <row r="117" spans="1:10" x14ac:dyDescent="0.35">
      <c r="A117">
        <v>1</v>
      </c>
      <c r="B117" t="s">
        <v>76</v>
      </c>
      <c r="C117">
        <v>1521577.87</v>
      </c>
      <c r="D117">
        <v>0</v>
      </c>
      <c r="E117">
        <v>66.760000000000005</v>
      </c>
      <c r="F117">
        <v>3.8769999999999998</v>
      </c>
      <c r="G117">
        <v>221.56407369999999</v>
      </c>
      <c r="H117">
        <v>7.1429999999999998</v>
      </c>
    </row>
    <row r="118" spans="1:10" x14ac:dyDescent="0.35">
      <c r="A118">
        <v>1</v>
      </c>
      <c r="B118" t="s">
        <v>77</v>
      </c>
      <c r="C118">
        <v>1468928.37</v>
      </c>
      <c r="D118">
        <v>0</v>
      </c>
      <c r="E118">
        <v>67.23</v>
      </c>
      <c r="F118">
        <v>3.8140000000000001</v>
      </c>
      <c r="G118">
        <v>221.6179368</v>
      </c>
      <c r="H118">
        <v>7.1429999999999998</v>
      </c>
    </row>
    <row r="119" spans="1:10" x14ac:dyDescent="0.35">
      <c r="A119">
        <v>1</v>
      </c>
      <c r="B119" s="1">
        <v>41004</v>
      </c>
      <c r="C119">
        <v>1684519.99</v>
      </c>
      <c r="D119">
        <v>0</v>
      </c>
      <c r="E119">
        <v>75.55</v>
      </c>
      <c r="F119">
        <v>3.7490000000000001</v>
      </c>
      <c r="G119">
        <v>221.67179999999999</v>
      </c>
      <c r="H119">
        <v>7.1429999999999998</v>
      </c>
    </row>
    <row r="120" spans="1:10" x14ac:dyDescent="0.35">
      <c r="A120">
        <v>1</v>
      </c>
      <c r="B120" s="1">
        <v>41218</v>
      </c>
      <c r="C120">
        <v>1611096.05</v>
      </c>
      <c r="D120">
        <v>0</v>
      </c>
      <c r="E120">
        <v>73.77</v>
      </c>
      <c r="F120">
        <v>3.6880000000000002</v>
      </c>
      <c r="G120">
        <v>221.72566320000001</v>
      </c>
      <c r="H120">
        <v>7.1429999999999998</v>
      </c>
      <c r="J120" s="1"/>
    </row>
    <row r="121" spans="1:10" x14ac:dyDescent="0.35">
      <c r="A121">
        <v>1</v>
      </c>
      <c r="B121" t="s">
        <v>78</v>
      </c>
      <c r="C121">
        <v>1595901.87</v>
      </c>
      <c r="D121">
        <v>0</v>
      </c>
      <c r="E121">
        <v>70.33</v>
      </c>
      <c r="F121">
        <v>-3.63</v>
      </c>
      <c r="G121">
        <v>221.74267399999999</v>
      </c>
      <c r="H121">
        <v>7.1429999999999998</v>
      </c>
      <c r="J121" s="1"/>
    </row>
    <row r="122" spans="1:10" x14ac:dyDescent="0.35">
      <c r="A122">
        <v>1</v>
      </c>
      <c r="B122" t="s">
        <v>79</v>
      </c>
      <c r="C122">
        <v>1555444.55</v>
      </c>
      <c r="D122">
        <v>0</v>
      </c>
      <c r="E122">
        <v>77.22</v>
      </c>
      <c r="F122">
        <v>3.5609999999999999</v>
      </c>
      <c r="G122">
        <v>221.744944</v>
      </c>
      <c r="H122">
        <v>7.1429999999999998</v>
      </c>
    </row>
    <row r="123" spans="1:10" x14ac:dyDescent="0.35">
      <c r="A123">
        <v>1</v>
      </c>
      <c r="B123" s="1">
        <v>40914</v>
      </c>
      <c r="C123">
        <v>1624477.58</v>
      </c>
      <c r="D123">
        <v>0</v>
      </c>
      <c r="E123">
        <v>77.95</v>
      </c>
      <c r="F123">
        <v>3.5009999999999999</v>
      </c>
      <c r="G123">
        <v>221.74721389999999</v>
      </c>
      <c r="H123">
        <v>7.1429999999999998</v>
      </c>
    </row>
    <row r="124" spans="1:10" x14ac:dyDescent="0.35">
      <c r="A124">
        <v>1</v>
      </c>
      <c r="B124" s="1">
        <v>41127</v>
      </c>
      <c r="C124">
        <v>1697230.96</v>
      </c>
      <c r="D124">
        <v>0</v>
      </c>
      <c r="E124">
        <v>78.3</v>
      </c>
      <c r="F124">
        <v>3.452</v>
      </c>
      <c r="G124">
        <v>221.7494839</v>
      </c>
      <c r="H124">
        <v>7.1429999999999998</v>
      </c>
      <c r="J124" s="1"/>
    </row>
    <row r="125" spans="1:10" x14ac:dyDescent="0.35">
      <c r="A125">
        <v>1</v>
      </c>
      <c r="B125" t="s">
        <v>80</v>
      </c>
      <c r="C125">
        <v>1630607</v>
      </c>
      <c r="D125">
        <v>0</v>
      </c>
      <c r="E125">
        <v>79.349999999999994</v>
      </c>
      <c r="F125">
        <v>3.3929999999999998</v>
      </c>
      <c r="G125">
        <v>221.76264209999999</v>
      </c>
      <c r="H125">
        <v>7.1429999999999998</v>
      </c>
      <c r="J125" s="1"/>
    </row>
    <row r="126" spans="1:10" x14ac:dyDescent="0.35">
      <c r="A126">
        <v>1</v>
      </c>
      <c r="B126" t="s">
        <v>81</v>
      </c>
      <c r="C126">
        <v>1527845.81</v>
      </c>
      <c r="D126" t="s">
        <v>98</v>
      </c>
      <c r="E126">
        <v>78.39</v>
      </c>
      <c r="F126">
        <v>3.3460000000000001</v>
      </c>
      <c r="G126">
        <v>221.8030211</v>
      </c>
      <c r="H126">
        <v>7.1429999999999998</v>
      </c>
    </row>
    <row r="127" spans="1:10" x14ac:dyDescent="0.35">
      <c r="A127">
        <v>1</v>
      </c>
      <c r="B127" t="s">
        <v>82</v>
      </c>
      <c r="C127">
        <v>1540421.49</v>
      </c>
      <c r="D127">
        <v>0</v>
      </c>
      <c r="E127">
        <v>84.88</v>
      </c>
      <c r="F127">
        <v>3.286</v>
      </c>
      <c r="G127">
        <v>221.8434</v>
      </c>
      <c r="H127">
        <v>7.1429999999999998</v>
      </c>
    </row>
    <row r="128" spans="1:10" x14ac:dyDescent="0.35">
      <c r="A128">
        <v>1</v>
      </c>
      <c r="B128" s="1">
        <v>41067</v>
      </c>
      <c r="C128">
        <v>1769854.16</v>
      </c>
      <c r="D128">
        <v>0</v>
      </c>
      <c r="E128">
        <v>81.569999999999993</v>
      </c>
      <c r="F128">
        <v>3.2269999999999999</v>
      </c>
      <c r="G128">
        <v>221.88377890000001</v>
      </c>
      <c r="H128">
        <v>6.9080000000000004</v>
      </c>
    </row>
    <row r="129" spans="1:10" x14ac:dyDescent="0.35">
      <c r="A129">
        <v>1</v>
      </c>
      <c r="B129" t="s">
        <v>83</v>
      </c>
      <c r="C129">
        <v>1527014.04</v>
      </c>
      <c r="D129">
        <v>0</v>
      </c>
      <c r="E129">
        <v>77.12</v>
      </c>
      <c r="F129">
        <v>3.2559999999999998</v>
      </c>
      <c r="G129">
        <v>221.92415790000001</v>
      </c>
      <c r="H129">
        <v>6.9080000000000004</v>
      </c>
      <c r="J129" s="1"/>
    </row>
    <row r="130" spans="1:10" x14ac:dyDescent="0.35">
      <c r="A130">
        <v>1</v>
      </c>
      <c r="B130" t="s">
        <v>84</v>
      </c>
      <c r="C130">
        <v>1497954.76</v>
      </c>
      <c r="D130">
        <v>0</v>
      </c>
      <c r="E130">
        <v>80.42</v>
      </c>
      <c r="F130">
        <v>3.3109999999999999</v>
      </c>
      <c r="G130">
        <v>221.93272669999999</v>
      </c>
      <c r="H130">
        <v>6.9080000000000004</v>
      </c>
    </row>
    <row r="131" spans="1:10" x14ac:dyDescent="0.35">
      <c r="A131">
        <v>1</v>
      </c>
      <c r="B131" t="s">
        <v>85</v>
      </c>
      <c r="C131">
        <v>1439123.71</v>
      </c>
      <c r="D131">
        <v>0</v>
      </c>
      <c r="E131">
        <v>82.66</v>
      </c>
      <c r="F131">
        <v>3.407</v>
      </c>
      <c r="G131">
        <v>221.9412954</v>
      </c>
      <c r="H131">
        <v>6.9080000000000004</v>
      </c>
    </row>
    <row r="132" spans="1:10" x14ac:dyDescent="0.35">
      <c r="A132">
        <v>1</v>
      </c>
      <c r="B132" s="1">
        <v>40976</v>
      </c>
      <c r="C132">
        <v>1631135.79</v>
      </c>
      <c r="D132">
        <v>0</v>
      </c>
      <c r="E132">
        <v>86.11</v>
      </c>
      <c r="F132">
        <v>3.4169999999999998</v>
      </c>
      <c r="G132">
        <v>221.94986420000001</v>
      </c>
      <c r="H132">
        <v>6.9080000000000004</v>
      </c>
    </row>
    <row r="133" spans="1:10" x14ac:dyDescent="0.35">
      <c r="A133">
        <v>1</v>
      </c>
      <c r="B133" s="1">
        <v>41190</v>
      </c>
      <c r="C133">
        <v>1592409.97</v>
      </c>
      <c r="D133" t="s">
        <v>95</v>
      </c>
      <c r="E133">
        <v>85.05</v>
      </c>
      <c r="F133">
        <v>3.4940000000000002</v>
      </c>
      <c r="G133">
        <v>221.95843289999999</v>
      </c>
      <c r="H133">
        <v>6.9080000000000004</v>
      </c>
      <c r="J133" s="1"/>
    </row>
    <row r="134" spans="1:10" x14ac:dyDescent="0.35">
      <c r="A134">
        <v>1</v>
      </c>
      <c r="B134" t="s">
        <v>86</v>
      </c>
      <c r="C134">
        <v>1597868.05</v>
      </c>
      <c r="D134">
        <v>0</v>
      </c>
      <c r="E134">
        <v>84.85</v>
      </c>
      <c r="F134">
        <v>3.5710000000000002</v>
      </c>
      <c r="G134">
        <v>222.0384109</v>
      </c>
      <c r="H134">
        <v>6.9080000000000004</v>
      </c>
      <c r="J134" s="1"/>
    </row>
    <row r="135" spans="1:10" x14ac:dyDescent="0.35">
      <c r="A135">
        <v>1</v>
      </c>
      <c r="B135" t="s">
        <v>87</v>
      </c>
      <c r="C135">
        <v>1494122.38</v>
      </c>
      <c r="D135">
        <v>0</v>
      </c>
      <c r="E135">
        <v>77.66</v>
      </c>
      <c r="F135">
        <v>3.62</v>
      </c>
      <c r="G135">
        <v>222.17194570000001</v>
      </c>
      <c r="H135">
        <v>6.9080000000000004</v>
      </c>
    </row>
    <row r="136" spans="1:10" x14ac:dyDescent="0.35">
      <c r="A136">
        <v>1</v>
      </c>
      <c r="B136" t="s">
        <v>88</v>
      </c>
      <c r="C136">
        <v>1582083.4</v>
      </c>
      <c r="D136">
        <v>0</v>
      </c>
      <c r="E136">
        <v>80.489999999999995</v>
      </c>
      <c r="F136">
        <v>3.6379999999999999</v>
      </c>
      <c r="G136">
        <v>222.30548049999999</v>
      </c>
      <c r="H136">
        <v>6.9080000000000004</v>
      </c>
    </row>
    <row r="137" spans="1:10" x14ac:dyDescent="0.35">
      <c r="A137">
        <v>1</v>
      </c>
      <c r="B137" s="1">
        <v>41099</v>
      </c>
      <c r="C137">
        <v>1661767.33</v>
      </c>
      <c r="D137" t="s">
        <v>99</v>
      </c>
      <c r="E137">
        <v>83.96</v>
      </c>
      <c r="F137">
        <v>3.73</v>
      </c>
      <c r="G137">
        <v>222.43901529999999</v>
      </c>
      <c r="H137">
        <v>6.9080000000000004</v>
      </c>
    </row>
    <row r="138" spans="1:10" x14ac:dyDescent="0.35">
      <c r="A138">
        <v>1</v>
      </c>
      <c r="B138" t="s">
        <v>89</v>
      </c>
      <c r="C138">
        <v>1517428.87</v>
      </c>
      <c r="D138">
        <v>0</v>
      </c>
      <c r="E138">
        <v>74.97</v>
      </c>
      <c r="F138">
        <v>3.7170000000000001</v>
      </c>
      <c r="G138">
        <v>222.58201930000001</v>
      </c>
      <c r="H138">
        <v>6.9080000000000004</v>
      </c>
      <c r="J138" s="1"/>
    </row>
    <row r="139" spans="1:10" x14ac:dyDescent="0.35">
      <c r="A139">
        <v>1</v>
      </c>
      <c r="B139" t="s">
        <v>90</v>
      </c>
      <c r="C139">
        <v>1506126.06</v>
      </c>
      <c r="D139">
        <v>0</v>
      </c>
      <c r="E139">
        <v>69.87</v>
      </c>
      <c r="F139">
        <v>3.7210000000000001</v>
      </c>
      <c r="G139">
        <v>222.78183859999999</v>
      </c>
      <c r="H139">
        <v>6.9080000000000004</v>
      </c>
    </row>
    <row r="140" spans="1:10" x14ac:dyDescent="0.35">
      <c r="A140">
        <v>1</v>
      </c>
      <c r="B140" t="s">
        <v>91</v>
      </c>
      <c r="C140">
        <v>1437059.26</v>
      </c>
      <c r="D140">
        <v>0</v>
      </c>
      <c r="E140">
        <v>76.08</v>
      </c>
      <c r="F140">
        <v>3.6659999999999999</v>
      </c>
      <c r="G140">
        <v>222.98165789999999</v>
      </c>
      <c r="H140">
        <v>6.9080000000000004</v>
      </c>
    </row>
    <row r="141" spans="1:10" x14ac:dyDescent="0.35">
      <c r="A141">
        <v>1</v>
      </c>
      <c r="B141" s="1">
        <v>41039</v>
      </c>
      <c r="C141">
        <v>1670785.97</v>
      </c>
      <c r="D141">
        <v>0</v>
      </c>
      <c r="E141">
        <v>68.55</v>
      </c>
      <c r="F141">
        <v>3.617</v>
      </c>
      <c r="G141">
        <v>223.18147719999999</v>
      </c>
      <c r="H141">
        <v>6.5730000000000004</v>
      </c>
    </row>
    <row r="142" spans="1:10" x14ac:dyDescent="0.35">
      <c r="A142">
        <v>1</v>
      </c>
      <c r="B142" s="1">
        <v>41253</v>
      </c>
      <c r="C142">
        <v>1573072.81</v>
      </c>
      <c r="D142">
        <v>0</v>
      </c>
      <c r="E142">
        <v>62.99</v>
      </c>
      <c r="F142">
        <v>3.601</v>
      </c>
      <c r="G142">
        <v>223.38129649999999</v>
      </c>
      <c r="H142">
        <v>6.5730000000000004</v>
      </c>
      <c r="J142" s="1"/>
    </row>
    <row r="143" spans="1:10" x14ac:dyDescent="0.35">
      <c r="A143">
        <v>1</v>
      </c>
      <c r="B143" t="s">
        <v>92</v>
      </c>
      <c r="C143">
        <v>1508068.77</v>
      </c>
      <c r="D143">
        <v>0</v>
      </c>
      <c r="E143">
        <v>67.97</v>
      </c>
      <c r="F143">
        <v>3.5939999999999999</v>
      </c>
      <c r="G143">
        <v>223.42572329999999</v>
      </c>
      <c r="H143">
        <v>6.5730000000000004</v>
      </c>
      <c r="J143" s="1"/>
    </row>
    <row r="144" spans="1:10" x14ac:dyDescent="0.35">
      <c r="A144">
        <v>1</v>
      </c>
      <c r="B144" t="s">
        <v>93</v>
      </c>
      <c r="C144">
        <v>1493659.74</v>
      </c>
      <c r="D144">
        <v>0</v>
      </c>
      <c r="E144">
        <v>69.16</v>
      </c>
      <c r="F144">
        <v>3.5059999999999998</v>
      </c>
      <c r="G144">
        <v>223.44425129999999</v>
      </c>
      <c r="H144">
        <v>6.5730000000000004</v>
      </c>
    </row>
    <row r="145" spans="1:10" x14ac:dyDescent="0.35">
      <c r="A145">
        <v>2</v>
      </c>
      <c r="B145" s="1">
        <v>40300</v>
      </c>
      <c r="C145">
        <v>2136989.46</v>
      </c>
      <c r="D145">
        <v>0</v>
      </c>
      <c r="E145">
        <v>40.19</v>
      </c>
      <c r="F145">
        <v>2.5720000000000001</v>
      </c>
      <c r="G145">
        <v>210.7526053</v>
      </c>
      <c r="H145">
        <v>8.3239999999999998</v>
      </c>
    </row>
    <row r="146" spans="1:10" x14ac:dyDescent="0.35">
      <c r="A146">
        <v>2</v>
      </c>
      <c r="B146" s="1">
        <v>40514</v>
      </c>
      <c r="C146">
        <v>2137809.5</v>
      </c>
      <c r="D146" t="s">
        <v>100</v>
      </c>
      <c r="E146">
        <v>38.49</v>
      </c>
      <c r="F146">
        <v>2.548</v>
      </c>
      <c r="G146">
        <v>210.89799350000001</v>
      </c>
      <c r="H146">
        <v>8.3239999999999998</v>
      </c>
      <c r="J146" s="1"/>
    </row>
    <row r="147" spans="1:10" x14ac:dyDescent="0.35">
      <c r="A147">
        <v>2</v>
      </c>
      <c r="B147" t="s">
        <v>8</v>
      </c>
      <c r="C147">
        <v>2124451.54</v>
      </c>
      <c r="D147">
        <v>0</v>
      </c>
      <c r="E147">
        <v>39.69</v>
      </c>
      <c r="F147">
        <v>2.5139999999999998</v>
      </c>
      <c r="G147">
        <v>210.94516049999999</v>
      </c>
      <c r="H147">
        <v>8.3239999999999998</v>
      </c>
      <c r="J147" s="1"/>
    </row>
    <row r="148" spans="1:10" x14ac:dyDescent="0.35">
      <c r="A148">
        <v>2</v>
      </c>
      <c r="B148" t="s">
        <v>9</v>
      </c>
      <c r="C148">
        <v>1865097.27</v>
      </c>
      <c r="D148">
        <v>0</v>
      </c>
      <c r="E148">
        <v>46.1</v>
      </c>
      <c r="F148">
        <v>2.5609999999999999</v>
      </c>
      <c r="G148">
        <v>210.9759573</v>
      </c>
      <c r="H148">
        <v>8.3239999999999998</v>
      </c>
    </row>
    <row r="149" spans="1:10" x14ac:dyDescent="0.35">
      <c r="A149">
        <v>2</v>
      </c>
      <c r="B149" s="1">
        <v>40301</v>
      </c>
      <c r="C149">
        <v>1991013.13</v>
      </c>
      <c r="D149">
        <v>0</v>
      </c>
      <c r="E149">
        <v>47.17</v>
      </c>
      <c r="F149">
        <v>2.625</v>
      </c>
      <c r="G149">
        <v>211.00675419999999</v>
      </c>
      <c r="H149">
        <v>8.3239999999999998</v>
      </c>
    </row>
    <row r="150" spans="1:10" x14ac:dyDescent="0.35">
      <c r="A150">
        <v>2</v>
      </c>
      <c r="B150" s="1">
        <v>40515</v>
      </c>
      <c r="C150">
        <v>1990483.78</v>
      </c>
      <c r="D150">
        <v>0</v>
      </c>
      <c r="E150">
        <v>57.56</v>
      </c>
      <c r="F150">
        <v>2.6669999999999998</v>
      </c>
      <c r="G150">
        <v>211.03755100000001</v>
      </c>
      <c r="H150">
        <v>8.3239999999999998</v>
      </c>
      <c r="J150" s="1"/>
    </row>
    <row r="151" spans="1:10" x14ac:dyDescent="0.35">
      <c r="A151">
        <v>2</v>
      </c>
      <c r="B151" t="s">
        <v>10</v>
      </c>
      <c r="C151">
        <v>1946070.88</v>
      </c>
      <c r="D151">
        <v>0</v>
      </c>
      <c r="E151">
        <v>54.52</v>
      </c>
      <c r="F151">
        <v>2.72</v>
      </c>
      <c r="G151">
        <v>210.8733316</v>
      </c>
      <c r="H151">
        <v>8.3239999999999998</v>
      </c>
      <c r="J151" s="1"/>
    </row>
    <row r="152" spans="1:10" x14ac:dyDescent="0.35">
      <c r="A152">
        <v>2</v>
      </c>
      <c r="B152" t="s">
        <v>11</v>
      </c>
      <c r="C152">
        <v>1750197.81</v>
      </c>
      <c r="D152">
        <v>0</v>
      </c>
      <c r="E152">
        <v>51.26</v>
      </c>
      <c r="F152">
        <v>2.7320000000000002</v>
      </c>
      <c r="G152">
        <v>210.67660950000001</v>
      </c>
      <c r="H152">
        <v>8.3239999999999998</v>
      </c>
    </row>
    <row r="153" spans="1:10" x14ac:dyDescent="0.35">
      <c r="A153">
        <v>2</v>
      </c>
      <c r="B153" s="1">
        <v>40213</v>
      </c>
      <c r="C153" t="s">
        <v>101</v>
      </c>
      <c r="D153">
        <v>0</v>
      </c>
      <c r="F153">
        <v>2.7189999999999999</v>
      </c>
      <c r="G153">
        <v>210.4798874</v>
      </c>
      <c r="H153">
        <v>8.1999999999999993</v>
      </c>
    </row>
    <row r="154" spans="1:10" x14ac:dyDescent="0.35">
      <c r="A154">
        <v>2</v>
      </c>
      <c r="B154" s="1">
        <v>40425</v>
      </c>
      <c r="C154">
        <v>1954689.21</v>
      </c>
      <c r="D154" t="s">
        <v>98</v>
      </c>
      <c r="E154">
        <v>65.41</v>
      </c>
      <c r="F154">
        <v>2.77</v>
      </c>
      <c r="G154">
        <v>210.28316530000001</v>
      </c>
      <c r="H154">
        <v>8.1999999999999993</v>
      </c>
      <c r="J154" s="1"/>
    </row>
    <row r="155" spans="1:10" x14ac:dyDescent="0.35">
      <c r="A155">
        <v>2</v>
      </c>
      <c r="B155" t="s">
        <v>12</v>
      </c>
      <c r="C155">
        <v>1874957.94</v>
      </c>
      <c r="D155">
        <v>0</v>
      </c>
      <c r="E155">
        <v>68.069999999999993</v>
      </c>
      <c r="H155">
        <v>8.1999999999999993</v>
      </c>
      <c r="J155" s="1"/>
    </row>
    <row r="156" spans="1:10" x14ac:dyDescent="0.35">
      <c r="A156">
        <v>2</v>
      </c>
      <c r="B156" t="s">
        <v>13</v>
      </c>
      <c r="C156">
        <v>1821990.93</v>
      </c>
      <c r="D156">
        <v>0</v>
      </c>
      <c r="E156">
        <v>65.11</v>
      </c>
      <c r="F156">
        <v>2.7949999999999999</v>
      </c>
      <c r="G156">
        <v>210.10006480000001</v>
      </c>
      <c r="H156">
        <v>8.1999999999999993</v>
      </c>
    </row>
    <row r="157" spans="1:10" x14ac:dyDescent="0.35">
      <c r="A157">
        <v>2</v>
      </c>
      <c r="B157" t="s">
        <v>14</v>
      </c>
      <c r="C157">
        <v>1802450.29</v>
      </c>
      <c r="D157">
        <v>0</v>
      </c>
      <c r="E157">
        <v>66.98</v>
      </c>
      <c r="F157">
        <v>2.78</v>
      </c>
      <c r="G157">
        <v>210.0505833</v>
      </c>
    </row>
    <row r="158" spans="1:10" x14ac:dyDescent="0.35">
      <c r="A158">
        <v>2</v>
      </c>
      <c r="B158" s="1">
        <v>40364</v>
      </c>
      <c r="C158" t="s">
        <v>102</v>
      </c>
      <c r="D158">
        <v>0</v>
      </c>
      <c r="E158">
        <v>71.28</v>
      </c>
      <c r="F158">
        <v>2.835</v>
      </c>
      <c r="G158">
        <v>210.00110179999999</v>
      </c>
      <c r="H158">
        <v>8.1999999999999993</v>
      </c>
    </row>
    <row r="159" spans="1:10" x14ac:dyDescent="0.35">
      <c r="A159">
        <v>2</v>
      </c>
      <c r="B159" t="s">
        <v>15</v>
      </c>
      <c r="C159">
        <v>1880752.36</v>
      </c>
      <c r="D159">
        <v>0</v>
      </c>
      <c r="E159">
        <v>73.31</v>
      </c>
      <c r="F159">
        <v>2.8540000000000001</v>
      </c>
      <c r="H159">
        <v>8.1999999999999993</v>
      </c>
      <c r="J159" s="1"/>
    </row>
    <row r="160" spans="1:10" x14ac:dyDescent="0.35">
      <c r="A160">
        <v>2</v>
      </c>
      <c r="B160" t="s">
        <v>16</v>
      </c>
      <c r="C160">
        <v>1896937.1</v>
      </c>
      <c r="D160">
        <v>0</v>
      </c>
      <c r="E160">
        <v>-74.83</v>
      </c>
      <c r="G160">
        <v>210.27684429999999</v>
      </c>
      <c r="H160">
        <v>8.1999999999999993</v>
      </c>
    </row>
    <row r="161" spans="1:10" x14ac:dyDescent="0.35">
      <c r="A161">
        <v>2</v>
      </c>
      <c r="B161" t="s">
        <v>17</v>
      </c>
      <c r="C161">
        <v>1957113.89</v>
      </c>
      <c r="D161">
        <v>0</v>
      </c>
      <c r="F161">
        <v>2.7589999999999999</v>
      </c>
      <c r="G161">
        <v>210.55523009999999</v>
      </c>
      <c r="H161">
        <v>8.1999999999999993</v>
      </c>
    </row>
    <row r="162" spans="1:10" x14ac:dyDescent="0.35">
      <c r="A162">
        <v>2</v>
      </c>
      <c r="B162" s="1">
        <v>40274</v>
      </c>
      <c r="C162">
        <v>2102539.9300000002</v>
      </c>
      <c r="D162">
        <v>0</v>
      </c>
      <c r="E162">
        <v>81.81</v>
      </c>
      <c r="F162">
        <v>2.7050000000000001</v>
      </c>
      <c r="G162">
        <v>210.83361600000001</v>
      </c>
      <c r="H162">
        <v>8.1999999999999993</v>
      </c>
    </row>
    <row r="163" spans="1:10" x14ac:dyDescent="0.35">
      <c r="A163">
        <v>2</v>
      </c>
      <c r="B163" s="1">
        <v>40488</v>
      </c>
      <c r="C163" t="s">
        <v>101</v>
      </c>
      <c r="D163">
        <v>0</v>
      </c>
      <c r="E163">
        <v>83.4</v>
      </c>
      <c r="F163">
        <v>2.6680000000000001</v>
      </c>
      <c r="G163">
        <v>211.1120018</v>
      </c>
      <c r="H163">
        <v>8.1999999999999993</v>
      </c>
      <c r="J163" s="1"/>
    </row>
    <row r="164" spans="1:10" x14ac:dyDescent="0.35">
      <c r="A164">
        <v>2</v>
      </c>
      <c r="B164" t="s">
        <v>18</v>
      </c>
      <c r="C164">
        <v>2001636.96</v>
      </c>
      <c r="D164">
        <v>0</v>
      </c>
      <c r="E164">
        <v>85.81</v>
      </c>
      <c r="F164">
        <v>2.637</v>
      </c>
      <c r="G164">
        <v>211.10965429999999</v>
      </c>
      <c r="H164">
        <v>8.1999999999999993</v>
      </c>
      <c r="J164" s="1"/>
    </row>
    <row r="165" spans="1:10" x14ac:dyDescent="0.35">
      <c r="A165">
        <v>2</v>
      </c>
      <c r="B165" t="s">
        <v>19</v>
      </c>
      <c r="C165">
        <v>1939927.09</v>
      </c>
      <c r="D165">
        <v>0</v>
      </c>
      <c r="E165">
        <v>86.26</v>
      </c>
      <c r="F165">
        <v>2.653</v>
      </c>
      <c r="G165">
        <v>210.9950134</v>
      </c>
      <c r="H165">
        <v>8.1999999999999993</v>
      </c>
    </row>
    <row r="166" spans="1:10" x14ac:dyDescent="0.35">
      <c r="A166">
        <v>2</v>
      </c>
      <c r="B166" s="1">
        <v>40216</v>
      </c>
      <c r="C166">
        <v>2003940.64</v>
      </c>
      <c r="D166">
        <v>0</v>
      </c>
      <c r="E166">
        <v>82.74</v>
      </c>
      <c r="G166">
        <v>210.88037259999999</v>
      </c>
      <c r="H166">
        <v>8.0990000000000002</v>
      </c>
    </row>
    <row r="167" spans="1:10" x14ac:dyDescent="0.35">
      <c r="A167">
        <v>2</v>
      </c>
      <c r="B167" s="1">
        <v>40428</v>
      </c>
      <c r="C167">
        <v>1880902.62</v>
      </c>
      <c r="D167">
        <v>0</v>
      </c>
      <c r="E167">
        <v>82.59</v>
      </c>
      <c r="F167">
        <v>2.6419999999999999</v>
      </c>
      <c r="G167">
        <v>210.7657317</v>
      </c>
      <c r="H167">
        <v>8.0990000000000002</v>
      </c>
      <c r="J167" s="1"/>
    </row>
    <row r="168" spans="1:10" x14ac:dyDescent="0.35">
      <c r="A168">
        <v>2</v>
      </c>
      <c r="B168" t="s">
        <v>20</v>
      </c>
      <c r="C168">
        <v>1845879.79</v>
      </c>
      <c r="D168">
        <v>0</v>
      </c>
      <c r="E168">
        <v>85.32</v>
      </c>
      <c r="F168">
        <v>2.6230000000000002</v>
      </c>
      <c r="H168">
        <v>8.0990000000000002</v>
      </c>
      <c r="J168" s="1"/>
    </row>
    <row r="169" spans="1:10" x14ac:dyDescent="0.35">
      <c r="A169">
        <v>2</v>
      </c>
      <c r="B169" t="s">
        <v>21</v>
      </c>
      <c r="C169">
        <v>1781717.71</v>
      </c>
      <c r="D169">
        <v>0</v>
      </c>
      <c r="F169">
        <v>2.6080000000000001</v>
      </c>
      <c r="G169">
        <v>210.89213190000001</v>
      </c>
      <c r="H169">
        <v>8.0990000000000002</v>
      </c>
    </row>
    <row r="170" spans="1:10" x14ac:dyDescent="0.35">
      <c r="A170">
        <v>2</v>
      </c>
      <c r="B170" t="s">
        <v>22</v>
      </c>
      <c r="C170" t="s">
        <v>103</v>
      </c>
      <c r="D170">
        <v>0</v>
      </c>
      <c r="E170">
        <v>83.49</v>
      </c>
      <c r="F170">
        <v>2.64</v>
      </c>
      <c r="G170">
        <v>211.0264684</v>
      </c>
      <c r="H170">
        <v>8.0990000000000002</v>
      </c>
    </row>
    <row r="171" spans="1:10" x14ac:dyDescent="0.35">
      <c r="A171">
        <v>2</v>
      </c>
      <c r="B171" s="1">
        <v>40337</v>
      </c>
      <c r="C171">
        <v>1991909.98</v>
      </c>
      <c r="D171">
        <v>0</v>
      </c>
      <c r="E171">
        <v>-89.53</v>
      </c>
      <c r="F171">
        <v>2.6269999999999998</v>
      </c>
      <c r="G171">
        <v>211.16080489999999</v>
      </c>
      <c r="H171">
        <v>8.0990000000000002</v>
      </c>
    </row>
    <row r="172" spans="1:10" x14ac:dyDescent="0.35">
      <c r="A172">
        <v>2</v>
      </c>
      <c r="B172" t="s">
        <v>23</v>
      </c>
      <c r="C172">
        <v>1895601.05</v>
      </c>
      <c r="D172">
        <v>0</v>
      </c>
      <c r="F172">
        <v>2.6920000000000002</v>
      </c>
      <c r="G172">
        <v>211.29514130000001</v>
      </c>
      <c r="J172" s="1"/>
    </row>
    <row r="173" spans="1:10" x14ac:dyDescent="0.35">
      <c r="A173">
        <v>2</v>
      </c>
      <c r="B173" t="s">
        <v>24</v>
      </c>
      <c r="C173">
        <v>1964335.23</v>
      </c>
      <c r="D173">
        <v>0</v>
      </c>
      <c r="E173">
        <v>88.7</v>
      </c>
      <c r="F173">
        <v>2.6640000000000001</v>
      </c>
      <c r="G173">
        <v>211.25965859999999</v>
      </c>
      <c r="H173">
        <v>8.0990000000000002</v>
      </c>
    </row>
    <row r="174" spans="1:10" x14ac:dyDescent="0.35">
      <c r="A174">
        <v>2</v>
      </c>
      <c r="B174" t="s">
        <v>25</v>
      </c>
      <c r="C174">
        <v>1863840.49</v>
      </c>
      <c r="D174">
        <v>0</v>
      </c>
      <c r="E174">
        <v>87.12</v>
      </c>
      <c r="F174">
        <v>2.6190000000000002</v>
      </c>
      <c r="G174">
        <v>211.22417590000001</v>
      </c>
      <c r="H174">
        <v>8.0990000000000002</v>
      </c>
    </row>
    <row r="175" spans="1:10" x14ac:dyDescent="0.35">
      <c r="A175">
        <v>2</v>
      </c>
      <c r="B175" s="1">
        <v>40246</v>
      </c>
      <c r="C175">
        <v>1904608.09</v>
      </c>
      <c r="D175">
        <v>0</v>
      </c>
      <c r="E175">
        <v>81.83</v>
      </c>
      <c r="F175">
        <v>2.577</v>
      </c>
      <c r="G175">
        <v>211.18869309999999</v>
      </c>
      <c r="H175">
        <v>8.0990000000000002</v>
      </c>
    </row>
    <row r="176" spans="1:10" x14ac:dyDescent="0.35">
      <c r="A176">
        <v>2</v>
      </c>
      <c r="B176" s="1">
        <v>40460</v>
      </c>
      <c r="C176">
        <v>1839128.83</v>
      </c>
      <c r="D176" t="s">
        <v>99</v>
      </c>
      <c r="F176">
        <v>2.5649999999999999</v>
      </c>
      <c r="H176">
        <v>8.0990000000000002</v>
      </c>
      <c r="J176" s="1"/>
    </row>
    <row r="177" spans="1:10" x14ac:dyDescent="0.35">
      <c r="A177">
        <v>2</v>
      </c>
      <c r="B177" t="s">
        <v>26</v>
      </c>
      <c r="C177">
        <v>1793903.6</v>
      </c>
      <c r="D177">
        <v>0</v>
      </c>
      <c r="E177">
        <v>82.05</v>
      </c>
      <c r="F177">
        <v>2.5819999999999999</v>
      </c>
      <c r="G177">
        <v>211.18064150000001</v>
      </c>
      <c r="H177">
        <v>8.0990000000000002</v>
      </c>
      <c r="J177" s="1"/>
    </row>
    <row r="178" spans="1:10" x14ac:dyDescent="0.35">
      <c r="A178">
        <v>2</v>
      </c>
      <c r="B178" t="s">
        <v>27</v>
      </c>
      <c r="C178">
        <v>1724557.22</v>
      </c>
      <c r="D178">
        <v>0</v>
      </c>
      <c r="F178">
        <v>2.6240000000000001</v>
      </c>
      <c r="H178">
        <v>8.0990000000000002</v>
      </c>
    </row>
    <row r="179" spans="1:10" x14ac:dyDescent="0.35">
      <c r="A179">
        <v>2</v>
      </c>
      <c r="B179" s="1">
        <v>40188</v>
      </c>
      <c r="C179">
        <v>1827440.43</v>
      </c>
      <c r="D179">
        <v>0</v>
      </c>
      <c r="E179">
        <v>69.239999999999995</v>
      </c>
      <c r="F179">
        <v>2.6030000000000002</v>
      </c>
      <c r="G179">
        <v>211.32987420000001</v>
      </c>
      <c r="H179">
        <v>8.1630000000000003</v>
      </c>
    </row>
    <row r="180" spans="1:10" x14ac:dyDescent="0.35">
      <c r="A180">
        <v>2</v>
      </c>
      <c r="B180" s="1">
        <v>40400</v>
      </c>
      <c r="C180">
        <v>1849921.44</v>
      </c>
      <c r="D180">
        <v>0</v>
      </c>
      <c r="E180">
        <v>63.19</v>
      </c>
      <c r="F180">
        <v>2.633</v>
      </c>
      <c r="G180">
        <v>211.4044906</v>
      </c>
      <c r="H180">
        <v>8.1630000000000003</v>
      </c>
      <c r="J180" s="1"/>
    </row>
    <row r="181" spans="1:10" x14ac:dyDescent="0.35">
      <c r="A181">
        <v>2</v>
      </c>
      <c r="B181" t="s">
        <v>28</v>
      </c>
      <c r="C181">
        <v>1794355.49</v>
      </c>
      <c r="D181">
        <v>0</v>
      </c>
      <c r="E181">
        <v>65.8</v>
      </c>
      <c r="F181">
        <v>2.72</v>
      </c>
      <c r="G181">
        <v>211.47132859999999</v>
      </c>
      <c r="H181">
        <v>8.1630000000000003</v>
      </c>
      <c r="J181" s="1"/>
    </row>
    <row r="182" spans="1:10" x14ac:dyDescent="0.35">
      <c r="A182">
        <v>2</v>
      </c>
      <c r="B182" t="s">
        <v>29</v>
      </c>
      <c r="C182">
        <v>1737947.64</v>
      </c>
      <c r="D182">
        <v>0</v>
      </c>
      <c r="E182">
        <v>68.5</v>
      </c>
      <c r="F182">
        <v>2.7250000000000001</v>
      </c>
      <c r="G182">
        <v>211.51872080000001</v>
      </c>
      <c r="H182">
        <v>8.1630000000000003</v>
      </c>
    </row>
    <row r="183" spans="1:10" x14ac:dyDescent="0.35">
      <c r="A183">
        <v>2</v>
      </c>
      <c r="B183" t="s">
        <v>30</v>
      </c>
      <c r="C183">
        <v>1802755.11</v>
      </c>
      <c r="D183">
        <v>0</v>
      </c>
      <c r="E183">
        <v>66.239999999999995</v>
      </c>
      <c r="F183">
        <v>2.7160000000000002</v>
      </c>
      <c r="G183">
        <v>211.5661131</v>
      </c>
      <c r="H183">
        <v>8.1630000000000003</v>
      </c>
    </row>
    <row r="184" spans="1:10" x14ac:dyDescent="0.35">
      <c r="A184">
        <v>2</v>
      </c>
      <c r="B184" s="1">
        <v>40309</v>
      </c>
      <c r="C184">
        <v>1939061.41</v>
      </c>
      <c r="D184">
        <v>0</v>
      </c>
      <c r="E184">
        <v>57.85</v>
      </c>
      <c r="G184">
        <v>211.61350530000001</v>
      </c>
      <c r="H184">
        <v>8.1630000000000003</v>
      </c>
    </row>
    <row r="185" spans="1:10" x14ac:dyDescent="0.35">
      <c r="A185">
        <v>2</v>
      </c>
      <c r="B185" s="1">
        <v>40523</v>
      </c>
      <c r="C185">
        <v>1916812.74</v>
      </c>
      <c r="D185">
        <v>0</v>
      </c>
      <c r="E185">
        <v>59.69</v>
      </c>
      <c r="F185">
        <v>-2.7280000000000002</v>
      </c>
      <c r="G185">
        <v>211.6608975</v>
      </c>
      <c r="H185">
        <v>8.1630000000000003</v>
      </c>
      <c r="J185" s="1"/>
    </row>
    <row r="186" spans="1:10" x14ac:dyDescent="0.35">
      <c r="A186">
        <v>2</v>
      </c>
      <c r="B186" t="s">
        <v>31</v>
      </c>
      <c r="C186">
        <v>1956739.17</v>
      </c>
      <c r="D186">
        <v>0</v>
      </c>
      <c r="E186" t="s">
        <v>104</v>
      </c>
      <c r="F186">
        <v>2.7709999999999999</v>
      </c>
      <c r="G186">
        <v>211.54703040000001</v>
      </c>
      <c r="H186">
        <v>8.1630000000000003</v>
      </c>
      <c r="J186" s="1"/>
    </row>
    <row r="187" spans="1:10" x14ac:dyDescent="0.35">
      <c r="A187">
        <v>2</v>
      </c>
      <c r="B187" t="s">
        <v>32</v>
      </c>
      <c r="C187">
        <v>2658725.29</v>
      </c>
      <c r="D187">
        <v>1</v>
      </c>
      <c r="E187">
        <v>62.98</v>
      </c>
      <c r="F187">
        <v>2.7349999999999999</v>
      </c>
      <c r="G187">
        <v>211.40628670000001</v>
      </c>
      <c r="H187">
        <v>8.1630000000000003</v>
      </c>
    </row>
    <row r="188" spans="1:10" x14ac:dyDescent="0.35">
      <c r="A188">
        <v>2</v>
      </c>
      <c r="B188" s="1">
        <v>40249</v>
      </c>
      <c r="C188">
        <v>2015781.27</v>
      </c>
      <c r="D188">
        <v>0</v>
      </c>
      <c r="E188">
        <v>49.33</v>
      </c>
      <c r="F188">
        <v>2.7080000000000002</v>
      </c>
      <c r="G188">
        <v>211.26554300000001</v>
      </c>
      <c r="H188">
        <v>8.1630000000000003</v>
      </c>
    </row>
    <row r="189" spans="1:10" x14ac:dyDescent="0.35">
      <c r="A189">
        <v>2</v>
      </c>
      <c r="B189" s="1">
        <v>40463</v>
      </c>
      <c r="C189">
        <v>2378726.5499999998</v>
      </c>
      <c r="D189">
        <v>0</v>
      </c>
      <c r="E189">
        <v>45.5</v>
      </c>
      <c r="F189">
        <v>2.843</v>
      </c>
      <c r="G189">
        <v>211.12479930000001</v>
      </c>
      <c r="H189">
        <v>8.1630000000000003</v>
      </c>
      <c r="J189" s="1"/>
    </row>
    <row r="190" spans="1:10" x14ac:dyDescent="0.35">
      <c r="A190">
        <v>2</v>
      </c>
      <c r="B190" t="s">
        <v>33</v>
      </c>
      <c r="C190">
        <v>2609166.75</v>
      </c>
      <c r="D190">
        <v>0</v>
      </c>
      <c r="E190">
        <v>47.55</v>
      </c>
      <c r="F190">
        <v>2.8690000000000002</v>
      </c>
      <c r="G190">
        <v>211.06454579999999</v>
      </c>
      <c r="H190">
        <v>8.1630000000000003</v>
      </c>
      <c r="J190" s="1"/>
    </row>
    <row r="191" spans="1:10" x14ac:dyDescent="0.35">
      <c r="A191">
        <v>2</v>
      </c>
      <c r="B191" t="s">
        <v>34</v>
      </c>
      <c r="C191">
        <v>3436007.68</v>
      </c>
      <c r="D191">
        <v>0</v>
      </c>
      <c r="E191">
        <v>49.97</v>
      </c>
      <c r="F191">
        <v>2.8860000000000001</v>
      </c>
      <c r="G191">
        <v>211.06465990000001</v>
      </c>
      <c r="H191">
        <v>8.1630000000000003</v>
      </c>
    </row>
    <row r="192" spans="1:10" x14ac:dyDescent="0.35">
      <c r="A192">
        <v>2</v>
      </c>
      <c r="B192" t="s">
        <v>35</v>
      </c>
      <c r="C192">
        <v>1750434.55</v>
      </c>
      <c r="D192">
        <v>1</v>
      </c>
      <c r="E192">
        <v>47.3</v>
      </c>
      <c r="H192">
        <v>8.1630000000000003</v>
      </c>
    </row>
    <row r="193" spans="1:10" x14ac:dyDescent="0.35">
      <c r="A193">
        <v>2</v>
      </c>
      <c r="B193" s="1">
        <v>40725</v>
      </c>
      <c r="C193">
        <v>1758050.79</v>
      </c>
      <c r="D193">
        <v>0</v>
      </c>
      <c r="E193">
        <v>44.69</v>
      </c>
      <c r="F193">
        <v>2.976</v>
      </c>
      <c r="G193">
        <v>211.06488809999999</v>
      </c>
      <c r="H193">
        <v>8.0280000000000005</v>
      </c>
    </row>
    <row r="194" spans="1:10" x14ac:dyDescent="0.35">
      <c r="A194">
        <v>2</v>
      </c>
      <c r="B194" t="s">
        <v>36</v>
      </c>
      <c r="C194">
        <v>1744193.58</v>
      </c>
      <c r="D194">
        <v>0</v>
      </c>
      <c r="E194" t="s">
        <v>105</v>
      </c>
      <c r="F194">
        <v>2.9830000000000001</v>
      </c>
      <c r="G194">
        <v>211.11767130000001</v>
      </c>
      <c r="H194">
        <v>8.0280000000000005</v>
      </c>
      <c r="J194" s="1"/>
    </row>
    <row r="195" spans="1:10" x14ac:dyDescent="0.35">
      <c r="A195">
        <v>2</v>
      </c>
      <c r="B195" t="s">
        <v>37</v>
      </c>
      <c r="C195">
        <v>1751384.9</v>
      </c>
      <c r="D195">
        <v>0</v>
      </c>
      <c r="E195">
        <v>41.4</v>
      </c>
      <c r="G195">
        <v>211.48646909999999</v>
      </c>
    </row>
    <row r="196" spans="1:10" x14ac:dyDescent="0.35">
      <c r="A196">
        <v>2</v>
      </c>
      <c r="B196" t="s">
        <v>38</v>
      </c>
      <c r="C196">
        <v>1695371.68</v>
      </c>
      <c r="D196">
        <v>0</v>
      </c>
      <c r="E196">
        <v>42.83</v>
      </c>
      <c r="F196">
        <v>3.01</v>
      </c>
      <c r="G196">
        <v>211.85526680000001</v>
      </c>
      <c r="H196">
        <v>8.0280000000000005</v>
      </c>
    </row>
    <row r="197" spans="1:10" x14ac:dyDescent="0.35">
      <c r="A197">
        <v>2</v>
      </c>
      <c r="B197" s="1">
        <v>40635</v>
      </c>
      <c r="C197">
        <v>1929346.23</v>
      </c>
      <c r="D197">
        <v>0</v>
      </c>
      <c r="E197">
        <v>38.25</v>
      </c>
      <c r="F197">
        <v>2.9889999999999999</v>
      </c>
      <c r="G197">
        <v>212.22406459999999</v>
      </c>
      <c r="H197">
        <v>8.0280000000000005</v>
      </c>
    </row>
    <row r="198" spans="1:10" x14ac:dyDescent="0.35">
      <c r="A198">
        <v>2</v>
      </c>
      <c r="B198" s="1">
        <v>40849</v>
      </c>
      <c r="C198">
        <v>2168041.61</v>
      </c>
      <c r="D198" t="s">
        <v>96</v>
      </c>
      <c r="E198">
        <v>33.19</v>
      </c>
      <c r="F198">
        <v>3.0219999999999998</v>
      </c>
      <c r="G198">
        <v>212.5928624</v>
      </c>
      <c r="H198">
        <v>8.0280000000000005</v>
      </c>
      <c r="J198" s="1"/>
    </row>
    <row r="199" spans="1:10" x14ac:dyDescent="0.35">
      <c r="A199">
        <v>2</v>
      </c>
      <c r="B199" t="s">
        <v>39</v>
      </c>
      <c r="C199">
        <v>2080884.82</v>
      </c>
      <c r="D199">
        <v>0</v>
      </c>
      <c r="E199">
        <v>57.83</v>
      </c>
      <c r="F199">
        <v>3.0449999999999999</v>
      </c>
      <c r="G199">
        <v>212.9033115</v>
      </c>
      <c r="H199">
        <v>8.0280000000000005</v>
      </c>
      <c r="J199" s="1"/>
    </row>
    <row r="200" spans="1:10" x14ac:dyDescent="0.35">
      <c r="A200">
        <v>2</v>
      </c>
      <c r="B200" t="s">
        <v>40</v>
      </c>
      <c r="C200">
        <v>1833511.08</v>
      </c>
      <c r="D200">
        <v>0</v>
      </c>
      <c r="E200">
        <v>60.8</v>
      </c>
      <c r="F200">
        <v>3.0649999999999999</v>
      </c>
      <c r="G200">
        <v>213.19042099999999</v>
      </c>
      <c r="H200">
        <v>8.0280000000000005</v>
      </c>
    </row>
    <row r="201" spans="1:10" x14ac:dyDescent="0.35">
      <c r="A201">
        <v>2</v>
      </c>
      <c r="B201" s="1">
        <v>40636</v>
      </c>
      <c r="C201">
        <v>1981607.78</v>
      </c>
      <c r="D201">
        <v>0</v>
      </c>
      <c r="E201">
        <v>57.77</v>
      </c>
      <c r="F201">
        <v>3.2879999999999998</v>
      </c>
      <c r="G201">
        <v>213.4775305</v>
      </c>
      <c r="H201">
        <v>8.0280000000000005</v>
      </c>
    </row>
    <row r="202" spans="1:10" x14ac:dyDescent="0.35">
      <c r="A202">
        <v>2</v>
      </c>
      <c r="B202" s="1">
        <v>40850</v>
      </c>
      <c r="C202">
        <v>1879107.31</v>
      </c>
      <c r="D202">
        <v>0</v>
      </c>
      <c r="E202">
        <v>52.7</v>
      </c>
      <c r="F202">
        <v>3.4590000000000001</v>
      </c>
      <c r="G202">
        <v>213.76464010000001</v>
      </c>
      <c r="H202">
        <v>8.0280000000000005</v>
      </c>
      <c r="J202" s="1"/>
    </row>
    <row r="203" spans="1:10" x14ac:dyDescent="0.35">
      <c r="A203">
        <v>2</v>
      </c>
      <c r="B203" t="s">
        <v>41</v>
      </c>
      <c r="C203">
        <v>1902557.66</v>
      </c>
      <c r="D203">
        <v>0</v>
      </c>
      <c r="E203">
        <v>62.32</v>
      </c>
      <c r="F203">
        <v>3.488</v>
      </c>
      <c r="G203">
        <v>214.01562379999999</v>
      </c>
      <c r="H203">
        <v>8.0280000000000005</v>
      </c>
      <c r="J203" s="1"/>
    </row>
    <row r="204" spans="1:10" x14ac:dyDescent="0.35">
      <c r="A204">
        <v>2</v>
      </c>
      <c r="B204" t="s">
        <v>42</v>
      </c>
      <c r="C204">
        <v>1766162.05</v>
      </c>
      <c r="D204">
        <v>0</v>
      </c>
      <c r="E204">
        <v>69.42</v>
      </c>
      <c r="F204">
        <v>3.4729999999999999</v>
      </c>
      <c r="G204">
        <v>214.25215729999999</v>
      </c>
      <c r="H204">
        <v>8.0280000000000005</v>
      </c>
    </row>
    <row r="205" spans="1:10" x14ac:dyDescent="0.35">
      <c r="A205">
        <v>2</v>
      </c>
      <c r="B205" s="1">
        <v>40547</v>
      </c>
      <c r="C205">
        <v>1800171.36</v>
      </c>
      <c r="D205">
        <v>0</v>
      </c>
      <c r="E205">
        <v>55.43</v>
      </c>
      <c r="F205">
        <v>3.524</v>
      </c>
      <c r="G205">
        <v>214.4886908</v>
      </c>
      <c r="H205">
        <v>7.931</v>
      </c>
    </row>
    <row r="206" spans="1:10" x14ac:dyDescent="0.35">
      <c r="A206">
        <v>2</v>
      </c>
      <c r="B206" s="1">
        <v>40759</v>
      </c>
      <c r="C206">
        <v>1847552.61</v>
      </c>
      <c r="D206">
        <v>0</v>
      </c>
      <c r="E206" t="s">
        <v>106</v>
      </c>
      <c r="F206">
        <v>3.6219999999999999</v>
      </c>
      <c r="G206">
        <v>214.72522420000001</v>
      </c>
      <c r="H206">
        <v>7.931</v>
      </c>
      <c r="J206" s="1"/>
    </row>
    <row r="207" spans="1:10" x14ac:dyDescent="0.35">
      <c r="A207">
        <v>2</v>
      </c>
      <c r="B207" t="s">
        <v>43</v>
      </c>
      <c r="C207">
        <v>1856467.84</v>
      </c>
      <c r="D207">
        <v>0</v>
      </c>
      <c r="E207">
        <v>69.48</v>
      </c>
      <c r="F207">
        <v>3.7429999999999999</v>
      </c>
      <c r="G207">
        <v>214.94206310000001</v>
      </c>
      <c r="H207">
        <v>7.931</v>
      </c>
      <c r="J207" s="1"/>
    </row>
    <row r="208" spans="1:10" x14ac:dyDescent="0.35">
      <c r="A208">
        <v>2</v>
      </c>
      <c r="B208" t="s">
        <v>44</v>
      </c>
      <c r="C208">
        <v>1886339.6</v>
      </c>
      <c r="D208">
        <v>0</v>
      </c>
      <c r="E208">
        <v>69.39</v>
      </c>
      <c r="F208">
        <v>3.8069999999999999</v>
      </c>
      <c r="G208">
        <v>215.10966569999999</v>
      </c>
      <c r="H208">
        <v>7.931</v>
      </c>
    </row>
    <row r="209" spans="1:10" x14ac:dyDescent="0.35">
      <c r="A209">
        <v>2</v>
      </c>
      <c r="B209" t="s">
        <v>45</v>
      </c>
      <c r="C209">
        <v>1745545.28</v>
      </c>
      <c r="D209">
        <v>0</v>
      </c>
      <c r="E209">
        <v>69.209999999999994</v>
      </c>
      <c r="F209">
        <v>3.81</v>
      </c>
      <c r="G209">
        <v>215.2772683</v>
      </c>
      <c r="H209">
        <v>7.931</v>
      </c>
    </row>
    <row r="210" spans="1:10" x14ac:dyDescent="0.35">
      <c r="A210">
        <v>2</v>
      </c>
      <c r="B210" s="1">
        <v>40699</v>
      </c>
      <c r="C210">
        <v>1837743.6</v>
      </c>
      <c r="D210">
        <v>0</v>
      </c>
      <c r="E210">
        <v>61.48</v>
      </c>
      <c r="F210">
        <v>3.9060000000000001</v>
      </c>
      <c r="G210">
        <v>215.44487090000001</v>
      </c>
      <c r="H210">
        <v>7.931</v>
      </c>
    </row>
    <row r="211" spans="1:10" x14ac:dyDescent="0.35">
      <c r="A211">
        <v>2</v>
      </c>
      <c r="B211" t="s">
        <v>46</v>
      </c>
      <c r="C211">
        <v>1838513.07</v>
      </c>
      <c r="D211">
        <v>0</v>
      </c>
      <c r="E211" t="s">
        <v>106</v>
      </c>
      <c r="F211">
        <v>3.899</v>
      </c>
      <c r="G211">
        <v>215.61247349999999</v>
      </c>
      <c r="H211">
        <v>7.931</v>
      </c>
      <c r="J211" s="1"/>
    </row>
    <row r="212" spans="1:10" x14ac:dyDescent="0.35">
      <c r="A212">
        <v>2</v>
      </c>
      <c r="B212" t="s">
        <v>47</v>
      </c>
      <c r="C212">
        <v>1688281.86</v>
      </c>
      <c r="D212">
        <v>0</v>
      </c>
      <c r="E212">
        <v>67.14</v>
      </c>
      <c r="F212">
        <v>3.907</v>
      </c>
      <c r="G212">
        <v>215.38347780000001</v>
      </c>
      <c r="H212">
        <v>7.931</v>
      </c>
    </row>
    <row r="213" spans="1:10" x14ac:dyDescent="0.35">
      <c r="A213">
        <v>2</v>
      </c>
      <c r="B213" t="s">
        <v>48</v>
      </c>
      <c r="C213">
        <v>1797732.56</v>
      </c>
      <c r="D213">
        <v>0</v>
      </c>
      <c r="E213">
        <v>76.42</v>
      </c>
      <c r="F213">
        <v>3.786</v>
      </c>
      <c r="G213">
        <v>215.15448219999999</v>
      </c>
      <c r="H213">
        <v>7.931</v>
      </c>
    </row>
    <row r="214" spans="1:10" x14ac:dyDescent="0.35">
      <c r="A214">
        <v>2</v>
      </c>
      <c r="B214" s="1">
        <v>40608</v>
      </c>
      <c r="C214">
        <v>1933756.21</v>
      </c>
      <c r="D214">
        <v>0</v>
      </c>
      <c r="E214">
        <v>83.07</v>
      </c>
      <c r="F214">
        <v>3.6989999999999998</v>
      </c>
      <c r="G214">
        <v>214.92548650000001</v>
      </c>
      <c r="H214">
        <v>7.931</v>
      </c>
    </row>
    <row r="215" spans="1:10" x14ac:dyDescent="0.35">
      <c r="A215">
        <v>2</v>
      </c>
      <c r="B215" s="1">
        <v>40822</v>
      </c>
      <c r="C215">
        <v>1929153.16</v>
      </c>
      <c r="D215">
        <v>0</v>
      </c>
      <c r="E215">
        <v>83.4</v>
      </c>
      <c r="F215">
        <v>3.6480000000000001</v>
      </c>
      <c r="G215">
        <v>214.69649079999999</v>
      </c>
      <c r="H215">
        <v>7.931</v>
      </c>
      <c r="J215" s="1"/>
    </row>
    <row r="216" spans="1:10" x14ac:dyDescent="0.35">
      <c r="A216">
        <v>2</v>
      </c>
      <c r="B216" t="s">
        <v>49</v>
      </c>
      <c r="C216">
        <v>1953771.99</v>
      </c>
      <c r="D216">
        <v>0</v>
      </c>
      <c r="E216">
        <v>86.53</v>
      </c>
      <c r="F216">
        <v>3.637</v>
      </c>
      <c r="G216">
        <v>214.65135380000001</v>
      </c>
      <c r="H216">
        <v>7.931</v>
      </c>
      <c r="J216" s="1"/>
    </row>
    <row r="217" spans="1:10" x14ac:dyDescent="0.35">
      <c r="A217">
        <v>2</v>
      </c>
      <c r="B217" t="s">
        <v>50</v>
      </c>
      <c r="C217">
        <v>1790925.8</v>
      </c>
      <c r="D217">
        <v>0</v>
      </c>
      <c r="E217">
        <v>85.17</v>
      </c>
      <c r="F217">
        <v>3.5939999999999999</v>
      </c>
      <c r="G217">
        <v>214.74411079999999</v>
      </c>
      <c r="H217">
        <v>7.931</v>
      </c>
    </row>
    <row r="218" spans="1:10" x14ac:dyDescent="0.35">
      <c r="A218">
        <v>2</v>
      </c>
      <c r="B218" s="1">
        <v>40550</v>
      </c>
      <c r="C218">
        <v>1866243</v>
      </c>
      <c r="D218">
        <v>0</v>
      </c>
      <c r="E218">
        <v>85.69</v>
      </c>
      <c r="F218">
        <v>3.524</v>
      </c>
      <c r="G218">
        <v>214.83686779999999</v>
      </c>
      <c r="H218">
        <v>7.8520000000000003</v>
      </c>
    </row>
    <row r="219" spans="1:10" x14ac:dyDescent="0.35">
      <c r="A219">
        <v>2</v>
      </c>
      <c r="B219" s="1">
        <v>40762</v>
      </c>
      <c r="C219">
        <v>1853161.99</v>
      </c>
      <c r="D219">
        <v>0</v>
      </c>
      <c r="E219">
        <v>87.7</v>
      </c>
      <c r="F219">
        <v>3.48</v>
      </c>
      <c r="G219">
        <v>214.92962489999999</v>
      </c>
      <c r="H219">
        <v>7.8520000000000003</v>
      </c>
      <c r="J219" s="1"/>
    </row>
    <row r="220" spans="1:10" x14ac:dyDescent="0.35">
      <c r="A220">
        <v>2</v>
      </c>
      <c r="B220" t="s">
        <v>51</v>
      </c>
      <c r="C220">
        <v>1785187.29</v>
      </c>
      <c r="D220">
        <v>0</v>
      </c>
      <c r="E220">
        <v>89.83</v>
      </c>
      <c r="F220">
        <v>3.5750000000000002</v>
      </c>
      <c r="G220">
        <v>215.01344259999999</v>
      </c>
      <c r="H220">
        <v>7.8520000000000003</v>
      </c>
      <c r="J220" s="1"/>
    </row>
    <row r="221" spans="1:10" x14ac:dyDescent="0.35">
      <c r="A221">
        <v>2</v>
      </c>
      <c r="B221" t="s">
        <v>52</v>
      </c>
      <c r="C221">
        <v>1743816.41</v>
      </c>
      <c r="D221">
        <v>0</v>
      </c>
      <c r="E221">
        <v>89.34</v>
      </c>
      <c r="F221">
        <v>3.6509999999999998</v>
      </c>
      <c r="G221">
        <v>215.0749122</v>
      </c>
      <c r="H221">
        <v>7.8520000000000003</v>
      </c>
    </row>
    <row r="222" spans="1:10" x14ac:dyDescent="0.35">
      <c r="A222">
        <v>2</v>
      </c>
      <c r="B222" t="s">
        <v>53</v>
      </c>
      <c r="C222">
        <v>1680693.06</v>
      </c>
      <c r="D222">
        <v>0</v>
      </c>
      <c r="E222">
        <v>90.07</v>
      </c>
      <c r="F222">
        <v>3.6819999999999999</v>
      </c>
      <c r="G222">
        <v>215.1363819</v>
      </c>
      <c r="H222">
        <v>7.8520000000000003</v>
      </c>
    </row>
    <row r="223" spans="1:10" x14ac:dyDescent="0.35">
      <c r="A223">
        <v>2</v>
      </c>
      <c r="B223" s="1">
        <v>40671</v>
      </c>
      <c r="C223">
        <v>1876704.26</v>
      </c>
      <c r="D223">
        <v>0</v>
      </c>
      <c r="E223">
        <v>93.34</v>
      </c>
      <c r="F223">
        <v>3.6840000000000002</v>
      </c>
      <c r="G223">
        <v>215.19785150000001</v>
      </c>
      <c r="H223">
        <v>7.8520000000000003</v>
      </c>
    </row>
    <row r="224" spans="1:10" x14ac:dyDescent="0.35">
      <c r="A224">
        <v>2</v>
      </c>
      <c r="B224" s="1">
        <v>40885</v>
      </c>
      <c r="C224">
        <v>1812768.26</v>
      </c>
      <c r="D224">
        <v>0</v>
      </c>
      <c r="E224">
        <v>91.58</v>
      </c>
      <c r="F224">
        <v>3.6379999999999999</v>
      </c>
      <c r="G224">
        <v>215.25932109999999</v>
      </c>
      <c r="H224">
        <v>7.8520000000000003</v>
      </c>
      <c r="J224" s="1"/>
    </row>
    <row r="225" spans="1:10" x14ac:dyDescent="0.35">
      <c r="A225">
        <v>2</v>
      </c>
      <c r="B225" t="s">
        <v>54</v>
      </c>
      <c r="C225">
        <v>1844094.59</v>
      </c>
      <c r="D225">
        <v>0</v>
      </c>
      <c r="E225">
        <v>89.86</v>
      </c>
      <c r="F225">
        <v>3.5539999999999998</v>
      </c>
      <c r="G225">
        <v>215.3229307</v>
      </c>
      <c r="H225">
        <v>7.8520000000000003</v>
      </c>
      <c r="J225" s="1"/>
    </row>
    <row r="226" spans="1:10" x14ac:dyDescent="0.35">
      <c r="A226">
        <v>2</v>
      </c>
      <c r="B226" t="s">
        <v>55</v>
      </c>
      <c r="C226">
        <v>1821139.91</v>
      </c>
      <c r="D226">
        <v>0</v>
      </c>
      <c r="E226">
        <v>90.45</v>
      </c>
      <c r="F226">
        <v>3.5230000000000001</v>
      </c>
      <c r="G226">
        <v>215.386897</v>
      </c>
      <c r="H226">
        <v>7.8520000000000003</v>
      </c>
    </row>
    <row r="227" spans="1:10" x14ac:dyDescent="0.35">
      <c r="A227">
        <v>2</v>
      </c>
      <c r="B227" s="1">
        <v>40583</v>
      </c>
      <c r="C227">
        <v>1809119.7</v>
      </c>
      <c r="D227">
        <v>0</v>
      </c>
      <c r="E227">
        <v>89.64</v>
      </c>
      <c r="F227">
        <v>3.5329999999999999</v>
      </c>
      <c r="G227">
        <v>215.45086319999999</v>
      </c>
      <c r="H227">
        <v>7.8520000000000003</v>
      </c>
    </row>
    <row r="228" spans="1:10" x14ac:dyDescent="0.35">
      <c r="A228">
        <v>2</v>
      </c>
      <c r="B228" s="1">
        <v>40795</v>
      </c>
      <c r="C228">
        <v>1748000.65</v>
      </c>
      <c r="D228">
        <v>1</v>
      </c>
      <c r="E228">
        <v>77.97</v>
      </c>
      <c r="F228">
        <v>3.5459999999999998</v>
      </c>
      <c r="G228">
        <v>215.51482949999999</v>
      </c>
      <c r="H228">
        <v>7.8520000000000003</v>
      </c>
      <c r="J228" s="1"/>
    </row>
    <row r="229" spans="1:10" x14ac:dyDescent="0.35">
      <c r="A229">
        <v>2</v>
      </c>
      <c r="B229" t="s">
        <v>56</v>
      </c>
      <c r="C229">
        <v>1691439.52</v>
      </c>
      <c r="D229">
        <v>0</v>
      </c>
      <c r="E229">
        <v>78.849999999999994</v>
      </c>
      <c r="F229">
        <v>3.5259999999999998</v>
      </c>
      <c r="G229">
        <v>215.6944378</v>
      </c>
      <c r="H229">
        <v>7.8520000000000003</v>
      </c>
      <c r="J229" s="1"/>
    </row>
    <row r="230" spans="1:10" x14ac:dyDescent="0.35">
      <c r="A230">
        <v>2</v>
      </c>
      <c r="B230" t="s">
        <v>57</v>
      </c>
      <c r="C230">
        <v>1669299.78</v>
      </c>
      <c r="D230">
        <v>0</v>
      </c>
      <c r="E230">
        <v>75.58</v>
      </c>
      <c r="F230">
        <v>3.4670000000000001</v>
      </c>
      <c r="G230">
        <v>216.02823559999999</v>
      </c>
      <c r="H230">
        <v>7.8520000000000003</v>
      </c>
    </row>
    <row r="231" spans="1:10" x14ac:dyDescent="0.35">
      <c r="A231">
        <v>2</v>
      </c>
      <c r="B231" t="s">
        <v>58</v>
      </c>
      <c r="C231">
        <v>1650394.44</v>
      </c>
      <c r="D231">
        <v>0</v>
      </c>
      <c r="E231">
        <v>78.14</v>
      </c>
      <c r="F231">
        <v>3.355</v>
      </c>
      <c r="G231">
        <v>216.36203330000001</v>
      </c>
      <c r="H231">
        <v>7.8520000000000003</v>
      </c>
    </row>
    <row r="232" spans="1:10" x14ac:dyDescent="0.35">
      <c r="A232">
        <v>2</v>
      </c>
      <c r="B232" s="1">
        <v>40734</v>
      </c>
      <c r="C232">
        <v>1837553.43</v>
      </c>
      <c r="D232">
        <v>0</v>
      </c>
      <c r="E232">
        <v>69.92</v>
      </c>
      <c r="F232">
        <v>3.2850000000000001</v>
      </c>
      <c r="G232">
        <v>216.69583109999999</v>
      </c>
      <c r="H232">
        <v>7.4409999999999998</v>
      </c>
    </row>
    <row r="233" spans="1:10" x14ac:dyDescent="0.35">
      <c r="A233">
        <v>2</v>
      </c>
      <c r="B233" t="s">
        <v>59</v>
      </c>
      <c r="C233">
        <v>1743882.19</v>
      </c>
      <c r="D233">
        <v>0</v>
      </c>
      <c r="E233">
        <v>71.67</v>
      </c>
      <c r="F233">
        <v>3.274</v>
      </c>
      <c r="G233">
        <v>217.0048261</v>
      </c>
      <c r="H233">
        <v>7.4409999999999998</v>
      </c>
      <c r="J233" s="1"/>
    </row>
    <row r="234" spans="1:10" x14ac:dyDescent="0.35">
      <c r="A234">
        <v>2</v>
      </c>
      <c r="B234" t="s">
        <v>60</v>
      </c>
      <c r="C234">
        <v>1834680.25</v>
      </c>
      <c r="D234">
        <v>0</v>
      </c>
      <c r="E234">
        <v>64.53</v>
      </c>
      <c r="F234">
        <v>3.3530000000000002</v>
      </c>
      <c r="G234">
        <v>217.1650042</v>
      </c>
      <c r="H234">
        <v>7.4409999999999998</v>
      </c>
    </row>
    <row r="235" spans="1:10" x14ac:dyDescent="0.35">
      <c r="A235">
        <v>2</v>
      </c>
      <c r="B235" t="s">
        <v>61</v>
      </c>
      <c r="C235">
        <v>1769296.25</v>
      </c>
      <c r="D235">
        <v>0</v>
      </c>
      <c r="E235">
        <v>65.87</v>
      </c>
      <c r="F235">
        <v>3.3719999999999999</v>
      </c>
      <c r="G235">
        <v>217.32518239999999</v>
      </c>
      <c r="H235">
        <v>7.4409999999999998</v>
      </c>
    </row>
    <row r="236" spans="1:10" x14ac:dyDescent="0.35">
      <c r="A236">
        <v>2</v>
      </c>
      <c r="B236" s="1">
        <v>40644</v>
      </c>
      <c r="C236">
        <v>1959707.9</v>
      </c>
      <c r="D236">
        <v>0</v>
      </c>
      <c r="E236">
        <v>55.53</v>
      </c>
      <c r="F236">
        <v>3.3319999999999999</v>
      </c>
      <c r="G236">
        <v>217.48536050000001</v>
      </c>
      <c r="H236">
        <v>7.4409999999999998</v>
      </c>
    </row>
    <row r="237" spans="1:10" x14ac:dyDescent="0.35">
      <c r="A237">
        <v>2</v>
      </c>
      <c r="B237" s="1">
        <v>40858</v>
      </c>
      <c r="C237">
        <v>1920725.15</v>
      </c>
      <c r="D237">
        <v>0</v>
      </c>
      <c r="E237">
        <v>59.33</v>
      </c>
      <c r="F237">
        <v>3.2970000000000002</v>
      </c>
      <c r="G237">
        <v>217.6455387</v>
      </c>
      <c r="H237">
        <v>7.4409999999999998</v>
      </c>
      <c r="J237" s="1"/>
    </row>
    <row r="238" spans="1:10" x14ac:dyDescent="0.35">
      <c r="A238">
        <v>2</v>
      </c>
      <c r="B238" t="s">
        <v>62</v>
      </c>
      <c r="C238">
        <v>1902762.5</v>
      </c>
      <c r="D238">
        <v>0</v>
      </c>
      <c r="E238">
        <v>62.01</v>
      </c>
      <c r="F238">
        <v>3.3079999999999998</v>
      </c>
      <c r="G238">
        <v>217.8670218</v>
      </c>
      <c r="H238">
        <v>7.4409999999999998</v>
      </c>
      <c r="J238" s="1"/>
    </row>
    <row r="239" spans="1:10" x14ac:dyDescent="0.35">
      <c r="A239">
        <v>2</v>
      </c>
      <c r="B239" t="s">
        <v>63</v>
      </c>
      <c r="C239">
        <v>2614202.2999999998</v>
      </c>
      <c r="D239">
        <v>1</v>
      </c>
      <c r="E239">
        <v>56.36</v>
      </c>
      <c r="F239">
        <v>3.2360000000000002</v>
      </c>
      <c r="G239">
        <v>218.11302689999999</v>
      </c>
      <c r="H239">
        <v>7.4409999999999998</v>
      </c>
    </row>
    <row r="240" spans="1:10" x14ac:dyDescent="0.35">
      <c r="A240">
        <v>2</v>
      </c>
      <c r="B240" s="1">
        <v>40586</v>
      </c>
      <c r="C240">
        <v>1954952</v>
      </c>
      <c r="D240">
        <v>0</v>
      </c>
      <c r="E240">
        <v>48.74</v>
      </c>
      <c r="F240">
        <v>3.1720000000000002</v>
      </c>
      <c r="G240">
        <v>218.35903189999999</v>
      </c>
      <c r="H240">
        <v>7.4409999999999998</v>
      </c>
    </row>
    <row r="241" spans="1:10" x14ac:dyDescent="0.35">
      <c r="A241">
        <v>2</v>
      </c>
      <c r="B241" s="1">
        <v>40798</v>
      </c>
      <c r="C241">
        <v>2290549.3199999998</v>
      </c>
      <c r="D241">
        <v>0</v>
      </c>
      <c r="E241" t="s">
        <v>107</v>
      </c>
      <c r="F241">
        <v>3.1579999999999999</v>
      </c>
      <c r="G241">
        <v>218.60503700000001</v>
      </c>
      <c r="H241">
        <v>7.4409999999999998</v>
      </c>
      <c r="J241" s="1"/>
    </row>
    <row r="242" spans="1:10" x14ac:dyDescent="0.35">
      <c r="A242">
        <v>2</v>
      </c>
      <c r="B242" t="s">
        <v>64</v>
      </c>
      <c r="C242">
        <v>2432736.52</v>
      </c>
      <c r="D242">
        <v>0</v>
      </c>
      <c r="E242">
        <v>50.13</v>
      </c>
      <c r="F242">
        <v>3.1589999999999998</v>
      </c>
      <c r="G242">
        <v>218.8217928</v>
      </c>
      <c r="H242">
        <v>7.4409999999999998</v>
      </c>
      <c r="J242" s="1"/>
    </row>
    <row r="243" spans="1:10" x14ac:dyDescent="0.35">
      <c r="A243">
        <v>2</v>
      </c>
      <c r="B243" t="s">
        <v>65</v>
      </c>
      <c r="C243">
        <v>3224369.8</v>
      </c>
      <c r="D243">
        <v>0</v>
      </c>
      <c r="E243">
        <v>46.66</v>
      </c>
      <c r="F243">
        <v>3.1120000000000001</v>
      </c>
      <c r="G243">
        <v>218.9995495</v>
      </c>
      <c r="H243">
        <v>7.4409999999999998</v>
      </c>
    </row>
    <row r="244" spans="1:10" x14ac:dyDescent="0.35">
      <c r="A244">
        <v>2</v>
      </c>
      <c r="B244" t="s">
        <v>66</v>
      </c>
      <c r="C244">
        <v>1874226.52</v>
      </c>
      <c r="D244">
        <v>1</v>
      </c>
      <c r="E244">
        <v>44.57</v>
      </c>
      <c r="F244">
        <v>3.129</v>
      </c>
      <c r="G244">
        <v>219.1773063</v>
      </c>
      <c r="H244">
        <v>7.4409999999999998</v>
      </c>
    </row>
    <row r="245" spans="1:10" x14ac:dyDescent="0.35">
      <c r="A245">
        <v>2</v>
      </c>
      <c r="B245" s="1">
        <v>41061</v>
      </c>
      <c r="C245">
        <v>1799520.14</v>
      </c>
      <c r="D245">
        <v>0</v>
      </c>
      <c r="E245">
        <v>46.75</v>
      </c>
      <c r="F245">
        <v>3.157</v>
      </c>
      <c r="G245">
        <v>219.355063</v>
      </c>
      <c r="H245">
        <v>7.0570000000000004</v>
      </c>
    </row>
    <row r="246" spans="1:10" x14ac:dyDescent="0.35">
      <c r="A246">
        <v>2</v>
      </c>
      <c r="B246" t="s">
        <v>67</v>
      </c>
      <c r="C246">
        <v>1744725.48</v>
      </c>
      <c r="D246">
        <v>0</v>
      </c>
      <c r="E246">
        <v>45.99</v>
      </c>
      <c r="F246">
        <v>3.2610000000000001</v>
      </c>
      <c r="G246">
        <v>219.5328198</v>
      </c>
      <c r="H246">
        <v>7.0570000000000004</v>
      </c>
      <c r="J246" s="1"/>
    </row>
    <row r="247" spans="1:10" x14ac:dyDescent="0.35">
      <c r="A247">
        <v>2</v>
      </c>
      <c r="B247" t="s">
        <v>68</v>
      </c>
      <c r="C247">
        <v>1711769.11</v>
      </c>
      <c r="D247">
        <v>0</v>
      </c>
      <c r="E247">
        <v>51.7</v>
      </c>
      <c r="F247">
        <v>3.2679999999999998</v>
      </c>
      <c r="G247">
        <v>219.6258417</v>
      </c>
      <c r="H247">
        <v>7.0570000000000004</v>
      </c>
    </row>
    <row r="248" spans="1:10" x14ac:dyDescent="0.35">
      <c r="A248">
        <v>2</v>
      </c>
      <c r="B248" t="s">
        <v>69</v>
      </c>
      <c r="C248">
        <v>1660906.14</v>
      </c>
      <c r="D248">
        <v>0</v>
      </c>
      <c r="E248">
        <v>50.5</v>
      </c>
      <c r="F248">
        <v>3.29</v>
      </c>
      <c r="G248">
        <v>219.71886359999999</v>
      </c>
      <c r="H248">
        <v>7.0570000000000004</v>
      </c>
    </row>
    <row r="249" spans="1:10" x14ac:dyDescent="0.35">
      <c r="A249">
        <v>2</v>
      </c>
      <c r="B249" s="1">
        <v>40970</v>
      </c>
      <c r="C249">
        <v>1935299.94</v>
      </c>
      <c r="D249">
        <v>0</v>
      </c>
      <c r="E249">
        <v>55.21</v>
      </c>
      <c r="F249">
        <v>3.36</v>
      </c>
      <c r="G249">
        <v>219.81188539999999</v>
      </c>
      <c r="H249">
        <v>7.0570000000000004</v>
      </c>
    </row>
    <row r="250" spans="1:10" x14ac:dyDescent="0.35">
      <c r="A250">
        <v>2</v>
      </c>
      <c r="B250" s="1">
        <v>41184</v>
      </c>
      <c r="C250">
        <v>2103322.6800000002</v>
      </c>
      <c r="D250">
        <v>1</v>
      </c>
      <c r="E250">
        <v>46.98</v>
      </c>
      <c r="F250">
        <v>3.4089999999999998</v>
      </c>
      <c r="G250">
        <v>219.90490729999999</v>
      </c>
      <c r="H250">
        <v>7.0570000000000004</v>
      </c>
      <c r="J250" s="1"/>
    </row>
    <row r="251" spans="1:10" x14ac:dyDescent="0.35">
      <c r="A251">
        <v>2</v>
      </c>
      <c r="B251" t="s">
        <v>70</v>
      </c>
      <c r="C251">
        <v>2196688.46</v>
      </c>
      <c r="D251">
        <v>0</v>
      </c>
      <c r="E251">
        <v>43.82</v>
      </c>
      <c r="F251">
        <v>3.51</v>
      </c>
      <c r="G251">
        <v>220.06519929999999</v>
      </c>
      <c r="H251">
        <v>7.0570000000000004</v>
      </c>
      <c r="J251" s="1"/>
    </row>
    <row r="252" spans="1:10" x14ac:dyDescent="0.35">
      <c r="A252">
        <v>2</v>
      </c>
      <c r="B252" t="s">
        <v>71</v>
      </c>
      <c r="C252">
        <v>1861802.7</v>
      </c>
      <c r="D252">
        <v>0</v>
      </c>
      <c r="E252">
        <v>54.63</v>
      </c>
      <c r="F252">
        <v>3.5550000000000002</v>
      </c>
      <c r="G252">
        <v>220.27594400000001</v>
      </c>
      <c r="H252">
        <v>7.0570000000000004</v>
      </c>
    </row>
    <row r="253" spans="1:10" x14ac:dyDescent="0.35">
      <c r="A253">
        <v>2</v>
      </c>
      <c r="B253" s="1">
        <v>40942</v>
      </c>
      <c r="C253">
        <v>1952555.66</v>
      </c>
      <c r="D253">
        <v>0</v>
      </c>
      <c r="E253">
        <v>58.79</v>
      </c>
      <c r="F253">
        <v>3.63</v>
      </c>
      <c r="G253">
        <v>220.48668860000001</v>
      </c>
      <c r="H253">
        <v>7.0570000000000004</v>
      </c>
    </row>
    <row r="254" spans="1:10" x14ac:dyDescent="0.35">
      <c r="A254">
        <v>2</v>
      </c>
      <c r="B254" s="1">
        <v>41155</v>
      </c>
      <c r="C254">
        <v>1937628.26</v>
      </c>
      <c r="D254">
        <v>0</v>
      </c>
      <c r="E254">
        <v>57.11</v>
      </c>
      <c r="F254">
        <v>3.669</v>
      </c>
      <c r="G254">
        <v>220.69743320000001</v>
      </c>
      <c r="H254">
        <v>7.0570000000000004</v>
      </c>
      <c r="J254" s="1"/>
    </row>
    <row r="255" spans="1:10" x14ac:dyDescent="0.35">
      <c r="A255">
        <v>2</v>
      </c>
      <c r="B255" t="s">
        <v>72</v>
      </c>
      <c r="C255">
        <v>1976082.13</v>
      </c>
      <c r="D255">
        <v>0</v>
      </c>
      <c r="E255">
        <v>63.68</v>
      </c>
      <c r="F255">
        <v>3.734</v>
      </c>
      <c r="G255">
        <v>220.84984679999999</v>
      </c>
      <c r="H255">
        <v>7.0570000000000004</v>
      </c>
      <c r="J255" s="1"/>
    </row>
    <row r="256" spans="1:10" x14ac:dyDescent="0.35">
      <c r="A256">
        <v>2</v>
      </c>
      <c r="B256" t="s">
        <v>73</v>
      </c>
      <c r="C256">
        <v>1790439.16</v>
      </c>
      <c r="D256">
        <v>0</v>
      </c>
      <c r="E256">
        <v>64.010000000000005</v>
      </c>
      <c r="F256">
        <v>3.7869999999999999</v>
      </c>
      <c r="G256">
        <v>220.92448580000001</v>
      </c>
      <c r="H256">
        <v>7.0570000000000004</v>
      </c>
    </row>
    <row r="257" spans="1:10" x14ac:dyDescent="0.35">
      <c r="A257">
        <v>2</v>
      </c>
      <c r="B257" t="s">
        <v>74</v>
      </c>
      <c r="C257">
        <v>1857480.84</v>
      </c>
      <c r="D257">
        <v>0</v>
      </c>
      <c r="E257">
        <v>66.83</v>
      </c>
      <c r="F257">
        <v>3.8450000000000002</v>
      </c>
      <c r="G257">
        <v>220.9991248</v>
      </c>
      <c r="H257">
        <v>7.0570000000000004</v>
      </c>
    </row>
    <row r="258" spans="1:10" x14ac:dyDescent="0.35">
      <c r="A258">
        <v>2</v>
      </c>
      <c r="B258" s="1">
        <v>41064</v>
      </c>
      <c r="C258">
        <v>2129035.91</v>
      </c>
      <c r="D258">
        <v>0</v>
      </c>
      <c r="E258">
        <v>68.430000000000007</v>
      </c>
      <c r="F258">
        <v>3.891</v>
      </c>
      <c r="G258">
        <v>221.07376379999999</v>
      </c>
      <c r="H258">
        <v>6.891</v>
      </c>
    </row>
    <row r="259" spans="1:10" x14ac:dyDescent="0.35">
      <c r="A259">
        <v>2</v>
      </c>
      <c r="B259" t="s">
        <v>75</v>
      </c>
      <c r="C259">
        <v>1935869.1</v>
      </c>
      <c r="D259">
        <v>0</v>
      </c>
      <c r="E259">
        <v>68.08</v>
      </c>
      <c r="F259">
        <v>3.891</v>
      </c>
      <c r="G259">
        <v>221.14840280000001</v>
      </c>
      <c r="H259">
        <v>6.891</v>
      </c>
      <c r="J259" s="1"/>
    </row>
    <row r="260" spans="1:10" x14ac:dyDescent="0.35">
      <c r="A260">
        <v>2</v>
      </c>
      <c r="B260" t="s">
        <v>76</v>
      </c>
      <c r="C260">
        <v>1847344.45</v>
      </c>
      <c r="D260">
        <v>0</v>
      </c>
      <c r="E260">
        <v>65.69</v>
      </c>
      <c r="F260">
        <v>3.8769999999999998</v>
      </c>
      <c r="G260">
        <v>221.20210739999999</v>
      </c>
      <c r="H260">
        <v>6.891</v>
      </c>
    </row>
    <row r="261" spans="1:10" x14ac:dyDescent="0.35">
      <c r="A261">
        <v>2</v>
      </c>
      <c r="B261" t="s">
        <v>77</v>
      </c>
      <c r="C261">
        <v>1764133.09</v>
      </c>
      <c r="D261">
        <v>0</v>
      </c>
      <c r="E261">
        <v>67.2</v>
      </c>
      <c r="F261">
        <v>3.8140000000000001</v>
      </c>
      <c r="G261">
        <v>221.25581199999999</v>
      </c>
      <c r="H261">
        <v>6.891</v>
      </c>
    </row>
    <row r="262" spans="1:10" x14ac:dyDescent="0.35">
      <c r="A262">
        <v>2</v>
      </c>
      <c r="B262" s="1">
        <v>41004</v>
      </c>
      <c r="C262">
        <v>1923957.09</v>
      </c>
      <c r="D262">
        <v>0</v>
      </c>
      <c r="E262">
        <v>76.73</v>
      </c>
      <c r="F262">
        <v>3.7490000000000001</v>
      </c>
      <c r="G262">
        <v>221.30951659999999</v>
      </c>
      <c r="H262">
        <v>6.891</v>
      </c>
    </row>
    <row r="263" spans="1:10" x14ac:dyDescent="0.35">
      <c r="A263">
        <v>2</v>
      </c>
      <c r="B263" s="1">
        <v>41218</v>
      </c>
      <c r="C263">
        <v>1917520.99</v>
      </c>
      <c r="D263">
        <v>0</v>
      </c>
      <c r="E263">
        <v>73.87</v>
      </c>
      <c r="F263">
        <v>3.6880000000000002</v>
      </c>
      <c r="G263">
        <v>221.3632212</v>
      </c>
      <c r="H263">
        <v>6.891</v>
      </c>
      <c r="J263" s="1"/>
    </row>
    <row r="264" spans="1:10" x14ac:dyDescent="0.35">
      <c r="A264">
        <v>2</v>
      </c>
      <c r="B264" t="s">
        <v>78</v>
      </c>
      <c r="C264">
        <v>2000940.67</v>
      </c>
      <c r="D264">
        <v>0</v>
      </c>
      <c r="E264">
        <v>71.27</v>
      </c>
      <c r="F264">
        <v>3.63</v>
      </c>
      <c r="G264">
        <v>221.38033100000001</v>
      </c>
      <c r="H264">
        <v>6.891</v>
      </c>
      <c r="J264" s="1"/>
    </row>
    <row r="265" spans="1:10" x14ac:dyDescent="0.35">
      <c r="A265">
        <v>2</v>
      </c>
      <c r="B265" t="s">
        <v>79</v>
      </c>
      <c r="C265">
        <v>1912791.09</v>
      </c>
      <c r="D265">
        <v>0</v>
      </c>
      <c r="E265">
        <v>78.19</v>
      </c>
      <c r="F265">
        <v>3.5609999999999999</v>
      </c>
      <c r="G265">
        <v>221.3828029</v>
      </c>
      <c r="H265">
        <v>6.891</v>
      </c>
    </row>
    <row r="266" spans="1:10" x14ac:dyDescent="0.35">
      <c r="A266">
        <v>2</v>
      </c>
      <c r="B266" s="1">
        <v>40914</v>
      </c>
      <c r="C266">
        <v>1910092.37</v>
      </c>
      <c r="D266">
        <v>0</v>
      </c>
      <c r="E266">
        <v>78.38</v>
      </c>
      <c r="F266">
        <v>3.5009999999999999</v>
      </c>
      <c r="G266">
        <v>221.38527479999999</v>
      </c>
      <c r="H266">
        <v>6.891</v>
      </c>
    </row>
    <row r="267" spans="1:10" x14ac:dyDescent="0.35">
      <c r="A267">
        <v>2</v>
      </c>
      <c r="B267" s="1">
        <v>41127</v>
      </c>
      <c r="C267">
        <v>2010216.49</v>
      </c>
      <c r="D267">
        <v>0</v>
      </c>
      <c r="E267">
        <v>78.69</v>
      </c>
      <c r="F267">
        <v>3.452</v>
      </c>
      <c r="G267">
        <v>221.38774670000001</v>
      </c>
      <c r="H267">
        <v>6.891</v>
      </c>
      <c r="J267" s="1"/>
    </row>
    <row r="268" spans="1:10" x14ac:dyDescent="0.35">
      <c r="A268">
        <v>2</v>
      </c>
      <c r="B268" t="s">
        <v>80</v>
      </c>
      <c r="C268">
        <v>1962924.3</v>
      </c>
      <c r="D268">
        <v>0</v>
      </c>
      <c r="E268">
        <v>80.56</v>
      </c>
      <c r="F268">
        <v>3.3929999999999998</v>
      </c>
      <c r="G268">
        <v>221.4009901</v>
      </c>
      <c r="H268">
        <v>6.891</v>
      </c>
      <c r="J268" s="1"/>
    </row>
    <row r="269" spans="1:10" x14ac:dyDescent="0.35">
      <c r="A269">
        <v>2</v>
      </c>
      <c r="B269" t="s">
        <v>81</v>
      </c>
      <c r="C269">
        <v>1887733.21</v>
      </c>
      <c r="D269">
        <v>0</v>
      </c>
      <c r="E269">
        <v>81.040000000000006</v>
      </c>
      <c r="F269">
        <v>3.3460000000000001</v>
      </c>
      <c r="G269">
        <v>221.44116220000001</v>
      </c>
      <c r="H269">
        <v>6.891</v>
      </c>
    </row>
    <row r="270" spans="1:10" x14ac:dyDescent="0.35">
      <c r="A270">
        <v>2</v>
      </c>
      <c r="B270" t="s">
        <v>82</v>
      </c>
      <c r="C270">
        <v>1881046.12</v>
      </c>
      <c r="D270">
        <v>0</v>
      </c>
      <c r="E270">
        <v>86.32</v>
      </c>
      <c r="F270">
        <v>3.286</v>
      </c>
      <c r="G270">
        <v>221.48133429999999</v>
      </c>
      <c r="H270">
        <v>6.891</v>
      </c>
    </row>
    <row r="271" spans="1:10" x14ac:dyDescent="0.35">
      <c r="A271">
        <v>2</v>
      </c>
      <c r="B271" s="1">
        <v>41067</v>
      </c>
      <c r="C271">
        <v>2041507.4</v>
      </c>
      <c r="D271">
        <v>0</v>
      </c>
      <c r="E271">
        <v>84.2</v>
      </c>
      <c r="F271">
        <v>3.2269999999999999</v>
      </c>
      <c r="G271">
        <v>221.52150639999999</v>
      </c>
      <c r="H271">
        <v>6.5650000000000004</v>
      </c>
    </row>
    <row r="272" spans="1:10" x14ac:dyDescent="0.35">
      <c r="A272">
        <v>2</v>
      </c>
      <c r="B272" t="s">
        <v>83</v>
      </c>
      <c r="C272">
        <v>1830075.13</v>
      </c>
      <c r="D272">
        <v>0</v>
      </c>
      <c r="E272">
        <v>80.17</v>
      </c>
      <c r="F272">
        <v>3.2559999999999998</v>
      </c>
      <c r="G272">
        <v>221.56167840000001</v>
      </c>
      <c r="H272">
        <v>6.5650000000000004</v>
      </c>
      <c r="J272" s="1"/>
    </row>
    <row r="273" spans="1:10" x14ac:dyDescent="0.35">
      <c r="A273">
        <v>2</v>
      </c>
      <c r="B273" t="s">
        <v>84</v>
      </c>
      <c r="C273">
        <v>1819666.46</v>
      </c>
      <c r="D273">
        <v>0</v>
      </c>
      <c r="E273">
        <v>83.23</v>
      </c>
      <c r="F273">
        <v>3.3109999999999999</v>
      </c>
      <c r="G273">
        <v>221.57011230000001</v>
      </c>
      <c r="H273">
        <v>6.5650000000000004</v>
      </c>
    </row>
    <row r="274" spans="1:10" x14ac:dyDescent="0.35">
      <c r="A274">
        <v>2</v>
      </c>
      <c r="B274" t="s">
        <v>85</v>
      </c>
      <c r="C274">
        <v>1757923.88</v>
      </c>
      <c r="D274">
        <v>0</v>
      </c>
      <c r="E274">
        <v>86.37</v>
      </c>
      <c r="F274">
        <v>3.407</v>
      </c>
      <c r="G274">
        <v>221.57854610000001</v>
      </c>
      <c r="H274">
        <v>6.5650000000000004</v>
      </c>
    </row>
    <row r="275" spans="1:10" x14ac:dyDescent="0.35">
      <c r="A275">
        <v>2</v>
      </c>
      <c r="B275" s="1">
        <v>40976</v>
      </c>
      <c r="C275">
        <v>1946104.64</v>
      </c>
      <c r="D275">
        <v>0</v>
      </c>
      <c r="E275">
        <v>90.22</v>
      </c>
      <c r="F275">
        <v>3.4169999999999998</v>
      </c>
      <c r="G275">
        <v>221.58697989999999</v>
      </c>
      <c r="H275">
        <v>6.5650000000000004</v>
      </c>
    </row>
    <row r="276" spans="1:10" x14ac:dyDescent="0.35">
      <c r="A276">
        <v>2</v>
      </c>
      <c r="B276" s="1">
        <v>41190</v>
      </c>
      <c r="C276">
        <v>1866719.96</v>
      </c>
      <c r="D276">
        <v>0</v>
      </c>
      <c r="E276">
        <v>88.55</v>
      </c>
      <c r="F276">
        <v>3.4940000000000002</v>
      </c>
      <c r="G276">
        <v>221.59541379999999</v>
      </c>
      <c r="H276">
        <v>6.5650000000000004</v>
      </c>
      <c r="J276" s="1"/>
    </row>
    <row r="277" spans="1:10" x14ac:dyDescent="0.35">
      <c r="A277">
        <v>2</v>
      </c>
      <c r="B277" t="s">
        <v>86</v>
      </c>
      <c r="C277">
        <v>1928016.01</v>
      </c>
      <c r="D277">
        <v>0</v>
      </c>
      <c r="E277">
        <v>84.79</v>
      </c>
      <c r="F277">
        <v>3.5710000000000002</v>
      </c>
      <c r="G277">
        <v>221.67514589999999</v>
      </c>
      <c r="H277">
        <v>6.5650000000000004</v>
      </c>
      <c r="J277" s="1"/>
    </row>
    <row r="278" spans="1:10" x14ac:dyDescent="0.35">
      <c r="A278">
        <v>2</v>
      </c>
      <c r="B278" t="s">
        <v>87</v>
      </c>
      <c r="C278">
        <v>1876788.15</v>
      </c>
      <c r="D278">
        <v>0</v>
      </c>
      <c r="E278">
        <v>76.91</v>
      </c>
      <c r="F278">
        <v>3.62</v>
      </c>
      <c r="G278">
        <v>221.8083518</v>
      </c>
      <c r="H278">
        <v>6.5650000000000004</v>
      </c>
    </row>
    <row r="279" spans="1:10" x14ac:dyDescent="0.35">
      <c r="A279">
        <v>2</v>
      </c>
      <c r="B279" t="s">
        <v>88</v>
      </c>
      <c r="C279">
        <v>1947083.3</v>
      </c>
      <c r="D279">
        <v>0</v>
      </c>
      <c r="E279">
        <v>82.64</v>
      </c>
      <c r="F279">
        <v>3.6379999999999999</v>
      </c>
      <c r="G279">
        <v>221.94155760000001</v>
      </c>
      <c r="H279">
        <v>6.5650000000000004</v>
      </c>
    </row>
    <row r="280" spans="1:10" x14ac:dyDescent="0.35">
      <c r="A280">
        <v>2</v>
      </c>
      <c r="B280" s="1">
        <v>41099</v>
      </c>
      <c r="C280">
        <v>1898777.07</v>
      </c>
      <c r="D280">
        <v>1</v>
      </c>
      <c r="E280">
        <v>87.65</v>
      </c>
      <c r="F280">
        <v>3.73</v>
      </c>
      <c r="G280">
        <v>222.07476349999999</v>
      </c>
      <c r="H280">
        <v>6.5650000000000004</v>
      </c>
    </row>
    <row r="281" spans="1:10" x14ac:dyDescent="0.35">
      <c r="A281">
        <v>2</v>
      </c>
      <c r="B281" t="s">
        <v>89</v>
      </c>
      <c r="C281">
        <v>1814806.63</v>
      </c>
      <c r="D281">
        <v>0</v>
      </c>
      <c r="E281">
        <v>75.88</v>
      </c>
      <c r="F281">
        <v>3.7170000000000001</v>
      </c>
      <c r="G281">
        <v>222.21743950000001</v>
      </c>
      <c r="H281">
        <v>6.5650000000000004</v>
      </c>
      <c r="J281" s="1"/>
    </row>
    <row r="282" spans="1:10" x14ac:dyDescent="0.35">
      <c r="A282">
        <v>2</v>
      </c>
      <c r="B282" t="s">
        <v>90</v>
      </c>
      <c r="C282">
        <v>1829415.67</v>
      </c>
      <c r="D282">
        <v>0</v>
      </c>
      <c r="E282">
        <v>71.09</v>
      </c>
      <c r="F282">
        <v>3.7210000000000001</v>
      </c>
      <c r="G282">
        <v>222.41693620000001</v>
      </c>
      <c r="H282">
        <v>6.5650000000000004</v>
      </c>
    </row>
    <row r="283" spans="1:10" x14ac:dyDescent="0.35">
      <c r="A283">
        <v>2</v>
      </c>
      <c r="B283" t="s">
        <v>91</v>
      </c>
      <c r="C283">
        <v>1746470.56</v>
      </c>
      <c r="D283">
        <v>0</v>
      </c>
      <c r="E283">
        <v>79.45</v>
      </c>
      <c r="F283">
        <v>3.6659999999999999</v>
      </c>
      <c r="G283">
        <v>222.61643290000001</v>
      </c>
      <c r="H283">
        <v>6.5650000000000004</v>
      </c>
    </row>
    <row r="284" spans="1:10" x14ac:dyDescent="0.35">
      <c r="A284">
        <v>2</v>
      </c>
      <c r="B284" s="1">
        <v>41039</v>
      </c>
      <c r="C284">
        <v>1998321.04</v>
      </c>
      <c r="D284">
        <v>0</v>
      </c>
      <c r="E284">
        <v>70.27</v>
      </c>
      <c r="F284">
        <v>3.617</v>
      </c>
      <c r="G284">
        <v>222.8159296</v>
      </c>
      <c r="H284">
        <v>6.17</v>
      </c>
    </row>
    <row r="285" spans="1:10" x14ac:dyDescent="0.35">
      <c r="A285">
        <v>2</v>
      </c>
      <c r="B285" s="1">
        <v>41253</v>
      </c>
      <c r="C285">
        <v>1900745.13</v>
      </c>
      <c r="D285">
        <v>0</v>
      </c>
      <c r="E285">
        <v>60.97</v>
      </c>
      <c r="F285">
        <v>3.601</v>
      </c>
      <c r="G285">
        <v>223.0154263</v>
      </c>
      <c r="H285">
        <v>6.17</v>
      </c>
      <c r="J285" s="1"/>
    </row>
    <row r="286" spans="1:10" x14ac:dyDescent="0.35">
      <c r="A286">
        <v>2</v>
      </c>
      <c r="B286" t="s">
        <v>92</v>
      </c>
      <c r="C286">
        <v>1847990.41</v>
      </c>
      <c r="D286">
        <v>0</v>
      </c>
      <c r="E286">
        <v>68.08</v>
      </c>
      <c r="F286">
        <v>3.5939999999999999</v>
      </c>
      <c r="G286">
        <v>223.05980769999999</v>
      </c>
      <c r="H286">
        <v>6.17</v>
      </c>
      <c r="J286" s="1"/>
    </row>
    <row r="287" spans="1:10" x14ac:dyDescent="0.35">
      <c r="A287">
        <v>2</v>
      </c>
      <c r="B287" t="s">
        <v>93</v>
      </c>
      <c r="C287">
        <v>1834458.35</v>
      </c>
      <c r="D287">
        <v>0</v>
      </c>
      <c r="E287">
        <v>69.790000000000006</v>
      </c>
      <c r="F287">
        <v>3.5059999999999998</v>
      </c>
      <c r="G287">
        <v>223.0783366</v>
      </c>
      <c r="H287">
        <v>6.17</v>
      </c>
    </row>
    <row r="288" spans="1:10" x14ac:dyDescent="0.35">
      <c r="A288">
        <v>3</v>
      </c>
      <c r="B288" s="1">
        <v>40300</v>
      </c>
      <c r="C288">
        <v>461622.22</v>
      </c>
      <c r="D288">
        <v>0</v>
      </c>
      <c r="E288">
        <v>45.71</v>
      </c>
      <c r="F288">
        <v>2.5720000000000001</v>
      </c>
      <c r="G288">
        <v>214.42488119999999</v>
      </c>
      <c r="H288">
        <v>7.3680000000000003</v>
      </c>
    </row>
    <row r="289" spans="1:10" x14ac:dyDescent="0.35">
      <c r="A289">
        <v>3</v>
      </c>
      <c r="B289" s="1">
        <v>40514</v>
      </c>
      <c r="C289">
        <v>420728.96</v>
      </c>
      <c r="D289">
        <v>1</v>
      </c>
      <c r="E289">
        <v>47.93</v>
      </c>
      <c r="F289">
        <v>2.548</v>
      </c>
      <c r="G289">
        <v>214.5747916</v>
      </c>
      <c r="H289">
        <v>7.3680000000000003</v>
      </c>
      <c r="J289" s="1"/>
    </row>
    <row r="290" spans="1:10" x14ac:dyDescent="0.35">
      <c r="A290">
        <v>3</v>
      </c>
      <c r="B290" t="s">
        <v>8</v>
      </c>
      <c r="C290">
        <v>421642.19</v>
      </c>
      <c r="D290">
        <v>0</v>
      </c>
      <c r="E290">
        <v>47.07</v>
      </c>
      <c r="F290">
        <v>2.5139999999999998</v>
      </c>
      <c r="G290">
        <v>214.61988679999999</v>
      </c>
      <c r="H290">
        <v>7.3680000000000003</v>
      </c>
      <c r="J290" s="1"/>
    </row>
    <row r="291" spans="1:10" x14ac:dyDescent="0.35">
      <c r="A291">
        <v>3</v>
      </c>
      <c r="B291" t="s">
        <v>9</v>
      </c>
      <c r="C291">
        <v>407204.86</v>
      </c>
      <c r="D291">
        <v>0</v>
      </c>
      <c r="E291">
        <v>52.05</v>
      </c>
      <c r="F291">
        <v>2.5609999999999999</v>
      </c>
      <c r="G291">
        <v>214.64751269999999</v>
      </c>
      <c r="H291">
        <v>7.3680000000000003</v>
      </c>
    </row>
    <row r="292" spans="1:10" x14ac:dyDescent="0.35">
      <c r="A292">
        <v>3</v>
      </c>
      <c r="B292" s="1">
        <v>40301</v>
      </c>
      <c r="C292">
        <v>415202.04</v>
      </c>
      <c r="D292">
        <v>0</v>
      </c>
      <c r="E292">
        <v>53.04</v>
      </c>
      <c r="F292">
        <v>2.625</v>
      </c>
      <c r="G292">
        <v>214.6751386</v>
      </c>
      <c r="H292">
        <v>7.3680000000000003</v>
      </c>
    </row>
    <row r="293" spans="1:10" x14ac:dyDescent="0.35">
      <c r="A293">
        <v>3</v>
      </c>
      <c r="B293" s="1">
        <v>40515</v>
      </c>
      <c r="C293">
        <v>384200.69</v>
      </c>
      <c r="D293">
        <v>0</v>
      </c>
      <c r="E293">
        <v>63.08</v>
      </c>
      <c r="F293">
        <v>2.6669999999999998</v>
      </c>
      <c r="G293">
        <v>214.70276459999999</v>
      </c>
      <c r="H293">
        <v>7.3680000000000003</v>
      </c>
      <c r="J293" s="1"/>
    </row>
    <row r="294" spans="1:10" x14ac:dyDescent="0.35">
      <c r="A294">
        <v>3</v>
      </c>
      <c r="B294" t="s">
        <v>10</v>
      </c>
      <c r="C294">
        <v>375328.59</v>
      </c>
      <c r="D294">
        <v>0</v>
      </c>
      <c r="E294">
        <v>60.42</v>
      </c>
      <c r="F294">
        <v>2.72</v>
      </c>
      <c r="G294">
        <v>214.53012190000001</v>
      </c>
      <c r="H294">
        <v>7.3680000000000003</v>
      </c>
      <c r="J294" s="1"/>
    </row>
    <row r="295" spans="1:10" x14ac:dyDescent="0.35">
      <c r="A295">
        <v>3</v>
      </c>
      <c r="B295" t="s">
        <v>11</v>
      </c>
      <c r="C295">
        <v>359949.27</v>
      </c>
      <c r="D295">
        <v>0</v>
      </c>
      <c r="E295">
        <v>57.06</v>
      </c>
      <c r="F295">
        <v>2.7320000000000002</v>
      </c>
      <c r="G295">
        <v>214.32410110000001</v>
      </c>
      <c r="H295">
        <v>7.3680000000000003</v>
      </c>
    </row>
    <row r="296" spans="1:10" x14ac:dyDescent="0.35">
      <c r="A296">
        <v>3</v>
      </c>
      <c r="B296" s="1">
        <v>40213</v>
      </c>
      <c r="C296">
        <v>423294.4</v>
      </c>
      <c r="D296">
        <v>0</v>
      </c>
      <c r="E296">
        <v>65.56</v>
      </c>
      <c r="F296" t="s">
        <v>109</v>
      </c>
      <c r="G296">
        <v>214.1180803</v>
      </c>
      <c r="H296">
        <v>7.343</v>
      </c>
    </row>
    <row r="297" spans="1:10" x14ac:dyDescent="0.35">
      <c r="A297">
        <v>3</v>
      </c>
      <c r="B297" s="1">
        <v>40425</v>
      </c>
      <c r="C297">
        <v>415870.28</v>
      </c>
      <c r="D297">
        <v>0</v>
      </c>
      <c r="E297">
        <v>68</v>
      </c>
      <c r="F297">
        <v>2.77</v>
      </c>
      <c r="G297">
        <v>213.9120595</v>
      </c>
      <c r="H297">
        <v>7.343</v>
      </c>
      <c r="J297" s="1"/>
    </row>
    <row r="298" spans="1:10" x14ac:dyDescent="0.35">
      <c r="A298">
        <v>3</v>
      </c>
      <c r="B298" t="s">
        <v>12</v>
      </c>
      <c r="C298">
        <v>354993.26</v>
      </c>
      <c r="D298">
        <v>0</v>
      </c>
      <c r="E298">
        <v>66.98</v>
      </c>
      <c r="F298">
        <v>2.8079999999999998</v>
      </c>
      <c r="G298">
        <v>213.77268889999999</v>
      </c>
      <c r="H298">
        <v>7.343</v>
      </c>
      <c r="J298" s="1"/>
    </row>
    <row r="299" spans="1:10" x14ac:dyDescent="0.35">
      <c r="A299">
        <v>3</v>
      </c>
      <c r="B299" t="s">
        <v>13</v>
      </c>
      <c r="C299">
        <v>339976.65</v>
      </c>
      <c r="D299">
        <v>0</v>
      </c>
      <c r="E299">
        <v>67.87</v>
      </c>
      <c r="F299">
        <v>2.7949999999999999</v>
      </c>
      <c r="G299">
        <v>213.72218520000001</v>
      </c>
      <c r="H299">
        <v>7.343</v>
      </c>
    </row>
    <row r="300" spans="1:10" x14ac:dyDescent="0.35">
      <c r="A300">
        <v>3</v>
      </c>
      <c r="B300" t="s">
        <v>14</v>
      </c>
      <c r="C300">
        <v>361248.39</v>
      </c>
      <c r="D300">
        <v>0</v>
      </c>
      <c r="E300">
        <v>70.239999999999995</v>
      </c>
      <c r="F300">
        <v>2.78</v>
      </c>
      <c r="G300">
        <v>213.67168150000001</v>
      </c>
      <c r="H300">
        <v>7.343</v>
      </c>
    </row>
    <row r="301" spans="1:10" x14ac:dyDescent="0.35">
      <c r="A301">
        <v>3</v>
      </c>
      <c r="B301" s="1">
        <v>40364</v>
      </c>
      <c r="C301">
        <v>399323.86</v>
      </c>
      <c r="D301">
        <v>0</v>
      </c>
      <c r="E301">
        <v>73.47</v>
      </c>
      <c r="F301">
        <v>3</v>
      </c>
      <c r="G301">
        <v>213.6211778</v>
      </c>
      <c r="H301">
        <v>7.343</v>
      </c>
    </row>
    <row r="302" spans="1:10" x14ac:dyDescent="0.35">
      <c r="A302">
        <v>3</v>
      </c>
      <c r="B302" t="s">
        <v>15</v>
      </c>
      <c r="C302">
        <v>384357.94</v>
      </c>
      <c r="D302">
        <v>0</v>
      </c>
      <c r="E302">
        <v>77.180000000000007</v>
      </c>
      <c r="F302">
        <v>2.8540000000000001</v>
      </c>
      <c r="G302">
        <v>213.61961389999999</v>
      </c>
      <c r="H302">
        <v>7.343</v>
      </c>
      <c r="J302" s="1"/>
    </row>
    <row r="303" spans="1:10" x14ac:dyDescent="0.35">
      <c r="A303">
        <v>3</v>
      </c>
      <c r="B303" t="s">
        <v>16</v>
      </c>
      <c r="C303">
        <v>343763.17</v>
      </c>
      <c r="D303">
        <v>0</v>
      </c>
      <c r="F303">
        <v>2.8260000000000001</v>
      </c>
      <c r="G303">
        <v>213.91168859999999</v>
      </c>
      <c r="H303">
        <v>7.343</v>
      </c>
    </row>
    <row r="304" spans="1:10" x14ac:dyDescent="0.35">
      <c r="A304">
        <v>3</v>
      </c>
      <c r="B304" t="s">
        <v>17</v>
      </c>
      <c r="C304">
        <v>350089.23</v>
      </c>
      <c r="D304">
        <v>0</v>
      </c>
      <c r="E304">
        <v>78.599999999999994</v>
      </c>
      <c r="G304">
        <v>214.20376340000001</v>
      </c>
    </row>
    <row r="305" spans="1:10" x14ac:dyDescent="0.35">
      <c r="A305">
        <v>3</v>
      </c>
      <c r="B305" s="1">
        <v>40274</v>
      </c>
      <c r="C305">
        <v>396968.8</v>
      </c>
      <c r="D305">
        <v>0</v>
      </c>
      <c r="E305">
        <v>78.53</v>
      </c>
      <c r="F305" t="s">
        <v>108</v>
      </c>
      <c r="G305">
        <v>214.49583820000001</v>
      </c>
      <c r="H305">
        <v>7.343</v>
      </c>
    </row>
    <row r="306" spans="1:10" x14ac:dyDescent="0.35">
      <c r="A306">
        <v>3</v>
      </c>
      <c r="B306" s="1">
        <v>40488</v>
      </c>
      <c r="C306">
        <v>355017.09</v>
      </c>
      <c r="D306">
        <v>0</v>
      </c>
      <c r="E306">
        <v>82.1</v>
      </c>
      <c r="G306">
        <v>214.787913</v>
      </c>
      <c r="H306">
        <v>7.343</v>
      </c>
      <c r="J306" s="1"/>
    </row>
    <row r="307" spans="1:10" x14ac:dyDescent="0.35">
      <c r="A307">
        <v>3</v>
      </c>
      <c r="B307" t="s">
        <v>18</v>
      </c>
      <c r="C307">
        <v>364076.85</v>
      </c>
      <c r="D307">
        <v>0</v>
      </c>
      <c r="E307">
        <v>83.52</v>
      </c>
      <c r="F307">
        <v>2.637</v>
      </c>
      <c r="G307">
        <v>214.78582589999999</v>
      </c>
      <c r="H307">
        <v>7.343</v>
      </c>
      <c r="J307" s="1"/>
    </row>
    <row r="308" spans="1:10" x14ac:dyDescent="0.35">
      <c r="A308">
        <v>3</v>
      </c>
      <c r="B308" t="s">
        <v>19</v>
      </c>
      <c r="C308">
        <v>357346.48</v>
      </c>
      <c r="D308">
        <v>0</v>
      </c>
      <c r="E308">
        <v>83.79</v>
      </c>
      <c r="F308">
        <v>2.653</v>
      </c>
      <c r="G308">
        <v>214.6660741</v>
      </c>
      <c r="H308">
        <v>7.343</v>
      </c>
    </row>
    <row r="309" spans="1:10" x14ac:dyDescent="0.35">
      <c r="A309">
        <v>3</v>
      </c>
      <c r="B309" s="1">
        <v>40216</v>
      </c>
      <c r="C309">
        <v>381151.72</v>
      </c>
      <c r="D309">
        <v>0</v>
      </c>
      <c r="E309">
        <v>82.2</v>
      </c>
      <c r="F309">
        <v>2.669</v>
      </c>
      <c r="G309">
        <v>214.54632219999999</v>
      </c>
      <c r="H309">
        <v>7.3460000000000001</v>
      </c>
    </row>
    <row r="310" spans="1:10" x14ac:dyDescent="0.35">
      <c r="A310">
        <v>3</v>
      </c>
      <c r="B310" s="1">
        <v>40428</v>
      </c>
      <c r="C310">
        <v>349214.18</v>
      </c>
      <c r="D310">
        <v>0</v>
      </c>
      <c r="F310">
        <v>2.6419999999999999</v>
      </c>
      <c r="G310">
        <v>214.4265704</v>
      </c>
      <c r="H310">
        <v>7.3460000000000001</v>
      </c>
      <c r="J310" s="1"/>
    </row>
    <row r="311" spans="1:10" x14ac:dyDescent="0.35">
      <c r="A311">
        <v>3</v>
      </c>
      <c r="B311" t="s">
        <v>20</v>
      </c>
      <c r="C311">
        <v>352728.78</v>
      </c>
      <c r="D311">
        <v>0</v>
      </c>
      <c r="E311">
        <v>84.32</v>
      </c>
      <c r="F311">
        <v>2.6230000000000002</v>
      </c>
      <c r="G311">
        <v>214.41764760000001</v>
      </c>
      <c r="H311">
        <v>7.3460000000000001</v>
      </c>
      <c r="J311" s="1"/>
    </row>
    <row r="312" spans="1:10" x14ac:dyDescent="0.35">
      <c r="A312">
        <v>3</v>
      </c>
      <c r="B312" t="s">
        <v>21</v>
      </c>
      <c r="C312">
        <v>352864.49</v>
      </c>
      <c r="D312">
        <v>0</v>
      </c>
      <c r="E312">
        <v>83.32</v>
      </c>
      <c r="F312">
        <v>2.6080000000000001</v>
      </c>
      <c r="G312">
        <v>214.55649679999999</v>
      </c>
      <c r="H312">
        <v>7.3460000000000001</v>
      </c>
    </row>
    <row r="313" spans="1:10" x14ac:dyDescent="0.35">
      <c r="A313">
        <v>3</v>
      </c>
      <c r="B313" t="s">
        <v>22</v>
      </c>
      <c r="C313">
        <v>347955.05</v>
      </c>
      <c r="D313">
        <v>0</v>
      </c>
      <c r="F313">
        <v>2.64</v>
      </c>
      <c r="G313">
        <v>214.695346</v>
      </c>
      <c r="H313">
        <v>7.3460000000000001</v>
      </c>
    </row>
    <row r="314" spans="1:10" x14ac:dyDescent="0.35">
      <c r="A314">
        <v>3</v>
      </c>
      <c r="B314" s="1">
        <v>40337</v>
      </c>
      <c r="C314">
        <v>402635.76</v>
      </c>
      <c r="D314">
        <v>0</v>
      </c>
      <c r="E314">
        <v>85.13</v>
      </c>
      <c r="F314">
        <v>2.6269999999999998</v>
      </c>
      <c r="G314">
        <v>214.83419520000001</v>
      </c>
      <c r="H314">
        <v>7.3460000000000001</v>
      </c>
    </row>
    <row r="315" spans="1:10" x14ac:dyDescent="0.35">
      <c r="A315">
        <v>3</v>
      </c>
      <c r="B315" t="s">
        <v>23</v>
      </c>
      <c r="C315">
        <v>339597.38</v>
      </c>
      <c r="D315">
        <v>0</v>
      </c>
      <c r="E315">
        <v>86.74</v>
      </c>
      <c r="F315">
        <v>2.6920000000000002</v>
      </c>
      <c r="J315" s="1"/>
    </row>
    <row r="316" spans="1:10" x14ac:dyDescent="0.35">
      <c r="A316">
        <v>3</v>
      </c>
      <c r="B316" t="s">
        <v>24</v>
      </c>
      <c r="C316">
        <v>351728.21</v>
      </c>
      <c r="D316">
        <v>0</v>
      </c>
      <c r="E316">
        <v>88.02</v>
      </c>
      <c r="F316">
        <v>2.6640000000000001</v>
      </c>
      <c r="G316">
        <v>214.9314191</v>
      </c>
      <c r="H316">
        <v>7.3460000000000001</v>
      </c>
    </row>
    <row r="317" spans="1:10" x14ac:dyDescent="0.35">
      <c r="A317">
        <v>3</v>
      </c>
      <c r="B317" t="s">
        <v>25</v>
      </c>
      <c r="C317">
        <v>362134.09</v>
      </c>
      <c r="D317">
        <v>0</v>
      </c>
      <c r="E317">
        <v>86.15</v>
      </c>
      <c r="F317">
        <v>2.6190000000000002</v>
      </c>
      <c r="G317">
        <v>214.88979380000001</v>
      </c>
      <c r="H317">
        <v>7.3460000000000001</v>
      </c>
    </row>
    <row r="318" spans="1:10" x14ac:dyDescent="0.35">
      <c r="A318">
        <v>3</v>
      </c>
      <c r="B318" s="1">
        <v>40246</v>
      </c>
      <c r="C318">
        <v>366473.97</v>
      </c>
      <c r="D318">
        <v>0</v>
      </c>
      <c r="E318">
        <v>84.16</v>
      </c>
      <c r="F318">
        <v>-2.577</v>
      </c>
      <c r="G318">
        <v>214.84816850000001</v>
      </c>
    </row>
    <row r="319" spans="1:10" x14ac:dyDescent="0.35">
      <c r="A319">
        <v>3</v>
      </c>
      <c r="B319" s="1">
        <v>40460</v>
      </c>
      <c r="C319">
        <v>352260.97</v>
      </c>
      <c r="D319">
        <v>1</v>
      </c>
      <c r="E319">
        <v>80.84</v>
      </c>
      <c r="F319">
        <v>2.5649999999999999</v>
      </c>
      <c r="G319">
        <v>214.8065431</v>
      </c>
      <c r="H319">
        <v>7.3460000000000001</v>
      </c>
      <c r="J319" s="1"/>
    </row>
    <row r="320" spans="1:10" x14ac:dyDescent="0.35">
      <c r="A320">
        <v>3</v>
      </c>
      <c r="B320" t="s">
        <v>26</v>
      </c>
      <c r="C320">
        <v>363064.64</v>
      </c>
      <c r="D320">
        <v>0</v>
      </c>
      <c r="E320">
        <v>82.36</v>
      </c>
      <c r="F320">
        <v>2.5819999999999999</v>
      </c>
      <c r="G320">
        <v>214.8322484</v>
      </c>
      <c r="H320">
        <v>7.3460000000000001</v>
      </c>
      <c r="J320" s="1"/>
    </row>
    <row r="321" spans="1:10" x14ac:dyDescent="0.35">
      <c r="A321">
        <v>3</v>
      </c>
      <c r="B321" t="s">
        <v>27</v>
      </c>
      <c r="C321">
        <v>355626.87</v>
      </c>
      <c r="D321">
        <v>0</v>
      </c>
      <c r="E321">
        <v>76.900000000000006</v>
      </c>
      <c r="G321">
        <v>214.90845160000001</v>
      </c>
      <c r="H321">
        <v>7.3460000000000001</v>
      </c>
    </row>
    <row r="322" spans="1:10" x14ac:dyDescent="0.35">
      <c r="A322">
        <v>3</v>
      </c>
      <c r="B322" s="1">
        <v>40188</v>
      </c>
      <c r="C322">
        <v>358784.1</v>
      </c>
      <c r="D322">
        <v>0</v>
      </c>
      <c r="E322">
        <v>73.599999999999994</v>
      </c>
      <c r="F322">
        <v>2.6030000000000002</v>
      </c>
      <c r="G322">
        <v>214.98465479999999</v>
      </c>
    </row>
    <row r="323" spans="1:10" x14ac:dyDescent="0.35">
      <c r="A323">
        <v>3</v>
      </c>
      <c r="B323" s="1">
        <v>40400</v>
      </c>
      <c r="C323">
        <v>395107.35</v>
      </c>
      <c r="D323">
        <v>0</v>
      </c>
      <c r="E323">
        <v>66.989999999999995</v>
      </c>
      <c r="F323">
        <v>2.633</v>
      </c>
      <c r="G323">
        <v>215.060858</v>
      </c>
      <c r="H323">
        <v>7.5640000000000001</v>
      </c>
      <c r="J323" s="1"/>
    </row>
    <row r="324" spans="1:10" x14ac:dyDescent="0.35">
      <c r="A324">
        <v>3</v>
      </c>
      <c r="B324" t="s">
        <v>28</v>
      </c>
      <c r="C324">
        <v>345584.39</v>
      </c>
      <c r="D324">
        <v>0</v>
      </c>
      <c r="E324">
        <v>69.709999999999994</v>
      </c>
      <c r="F324">
        <v>2.72</v>
      </c>
      <c r="G324">
        <v>215.12931140000001</v>
      </c>
      <c r="H324">
        <v>7.5640000000000001</v>
      </c>
      <c r="J324" s="1"/>
    </row>
    <row r="325" spans="1:10" x14ac:dyDescent="0.35">
      <c r="A325">
        <v>3</v>
      </c>
      <c r="B325" t="s">
        <v>29</v>
      </c>
      <c r="C325">
        <v>348895.98</v>
      </c>
      <c r="D325">
        <v>0</v>
      </c>
      <c r="E325">
        <v>71.64</v>
      </c>
      <c r="G325">
        <v>215.17839000000001</v>
      </c>
      <c r="H325">
        <v>7.5640000000000001</v>
      </c>
    </row>
    <row r="326" spans="1:10" x14ac:dyDescent="0.35">
      <c r="A326">
        <v>3</v>
      </c>
      <c r="B326" t="s">
        <v>30</v>
      </c>
      <c r="C326">
        <v>348591.74</v>
      </c>
      <c r="D326">
        <v>0</v>
      </c>
      <c r="E326">
        <v>72.040000000000006</v>
      </c>
      <c r="F326">
        <v>2.7160000000000002</v>
      </c>
      <c r="G326">
        <v>215.22746860000001</v>
      </c>
    </row>
    <row r="327" spans="1:10" x14ac:dyDescent="0.35">
      <c r="A327">
        <v>3</v>
      </c>
      <c r="B327" s="1">
        <v>40309</v>
      </c>
      <c r="C327">
        <v>423175.56</v>
      </c>
      <c r="D327">
        <v>0</v>
      </c>
      <c r="E327">
        <v>62.94</v>
      </c>
      <c r="F327">
        <v>2.6890000000000001</v>
      </c>
      <c r="G327">
        <v>215.27654720000001</v>
      </c>
      <c r="H327">
        <v>7.5640000000000001</v>
      </c>
    </row>
    <row r="328" spans="1:10" x14ac:dyDescent="0.35">
      <c r="A328">
        <v>3</v>
      </c>
      <c r="B328" s="1">
        <v>40523</v>
      </c>
      <c r="C328">
        <v>386635.03</v>
      </c>
      <c r="D328">
        <v>0</v>
      </c>
      <c r="E328">
        <v>62.79</v>
      </c>
      <c r="F328">
        <v>2.7280000000000002</v>
      </c>
      <c r="G328">
        <v>215.32562580000001</v>
      </c>
      <c r="H328">
        <v>7.5640000000000001</v>
      </c>
      <c r="J328" s="1"/>
    </row>
    <row r="329" spans="1:10" x14ac:dyDescent="0.35">
      <c r="A329">
        <v>3</v>
      </c>
      <c r="B329" t="s">
        <v>31</v>
      </c>
      <c r="C329">
        <v>372545.32</v>
      </c>
      <c r="D329">
        <v>0</v>
      </c>
      <c r="E329">
        <v>57.72</v>
      </c>
      <c r="G329">
        <v>215.2074519</v>
      </c>
      <c r="H329">
        <v>7.5640000000000001</v>
      </c>
      <c r="J329" s="1"/>
    </row>
    <row r="330" spans="1:10" x14ac:dyDescent="0.35">
      <c r="A330">
        <v>3</v>
      </c>
      <c r="B330" t="s">
        <v>32</v>
      </c>
      <c r="C330">
        <v>565567.84</v>
      </c>
      <c r="D330">
        <v>1</v>
      </c>
      <c r="E330">
        <v>68.709999999999994</v>
      </c>
      <c r="F330">
        <v>2.7349999999999999</v>
      </c>
      <c r="G330">
        <v>215.06140250000001</v>
      </c>
      <c r="H330">
        <v>7.5640000000000001</v>
      </c>
    </row>
    <row r="331" spans="1:10" x14ac:dyDescent="0.35">
      <c r="A331">
        <v>3</v>
      </c>
      <c r="B331" s="1">
        <v>40249</v>
      </c>
      <c r="C331">
        <v>476420.77</v>
      </c>
      <c r="D331">
        <v>0</v>
      </c>
      <c r="E331">
        <v>53.76</v>
      </c>
      <c r="F331">
        <v>2.7080000000000002</v>
      </c>
      <c r="G331">
        <v>214.9153531</v>
      </c>
    </row>
    <row r="332" spans="1:10" x14ac:dyDescent="0.35">
      <c r="A332">
        <v>3</v>
      </c>
      <c r="B332" s="1">
        <v>40463</v>
      </c>
      <c r="C332">
        <v>467642.03</v>
      </c>
      <c r="D332">
        <v>0</v>
      </c>
      <c r="E332">
        <v>51.13</v>
      </c>
      <c r="F332">
        <v>-2.843</v>
      </c>
      <c r="G332">
        <v>214.76930369999999</v>
      </c>
      <c r="H332">
        <v>7.5640000000000001</v>
      </c>
      <c r="J332" s="1"/>
    </row>
    <row r="333" spans="1:10" x14ac:dyDescent="0.35">
      <c r="A333">
        <v>3</v>
      </c>
      <c r="B333" t="s">
        <v>33</v>
      </c>
      <c r="C333">
        <v>498159.39</v>
      </c>
      <c r="D333">
        <v>0</v>
      </c>
      <c r="E333">
        <v>52.2</v>
      </c>
      <c r="F333">
        <v>2.8690000000000002</v>
      </c>
      <c r="G333">
        <v>214.70491899999999</v>
      </c>
      <c r="H333">
        <v>7.5640000000000001</v>
      </c>
      <c r="J333" s="1"/>
    </row>
    <row r="334" spans="1:10" x14ac:dyDescent="0.35">
      <c r="A334">
        <v>3</v>
      </c>
      <c r="B334" t="s">
        <v>34</v>
      </c>
      <c r="C334">
        <v>605990.41</v>
      </c>
      <c r="D334">
        <v>0</v>
      </c>
      <c r="E334">
        <v>57.16</v>
      </c>
      <c r="F334">
        <v>2.8860000000000001</v>
      </c>
      <c r="G334">
        <v>214.70178279999999</v>
      </c>
      <c r="H334">
        <v>7.5640000000000001</v>
      </c>
    </row>
    <row r="335" spans="1:10" x14ac:dyDescent="0.35">
      <c r="A335">
        <v>3</v>
      </c>
      <c r="B335" t="s">
        <v>35</v>
      </c>
      <c r="C335">
        <v>382677.76000000001</v>
      </c>
      <c r="D335">
        <v>1</v>
      </c>
      <c r="E335">
        <v>53.2</v>
      </c>
      <c r="F335">
        <v>2.9430000000000001</v>
      </c>
      <c r="G335">
        <v>214.69864659999999</v>
      </c>
      <c r="H335">
        <v>7.5640000000000001</v>
      </c>
    </row>
    <row r="336" spans="1:10" x14ac:dyDescent="0.35">
      <c r="A336">
        <v>3</v>
      </c>
      <c r="B336" s="1">
        <v>40725</v>
      </c>
      <c r="C336">
        <v>378241.34</v>
      </c>
      <c r="D336">
        <v>0</v>
      </c>
      <c r="E336">
        <v>53.35</v>
      </c>
      <c r="F336">
        <v>2.976</v>
      </c>
      <c r="G336">
        <v>214.69551039999999</v>
      </c>
      <c r="H336">
        <v>7.5510000000000002</v>
      </c>
    </row>
    <row r="337" spans="1:10" x14ac:dyDescent="0.35">
      <c r="A337">
        <v>3</v>
      </c>
      <c r="B337" t="s">
        <v>36</v>
      </c>
      <c r="C337">
        <v>381061.1</v>
      </c>
      <c r="D337">
        <v>0</v>
      </c>
      <c r="E337">
        <v>44.76</v>
      </c>
      <c r="F337">
        <v>2.9830000000000001</v>
      </c>
      <c r="G337">
        <v>214.74707290000001</v>
      </c>
      <c r="H337">
        <v>7.5510000000000002</v>
      </c>
      <c r="J337" s="1"/>
    </row>
    <row r="338" spans="1:10" x14ac:dyDescent="0.35">
      <c r="A338">
        <v>3</v>
      </c>
      <c r="B338" t="s">
        <v>37</v>
      </c>
      <c r="C338">
        <v>350876.7</v>
      </c>
      <c r="D338">
        <v>0</v>
      </c>
      <c r="E338">
        <v>50.74</v>
      </c>
      <c r="F338">
        <v>3.016</v>
      </c>
      <c r="G338">
        <v>215.12682749999999</v>
      </c>
      <c r="H338">
        <v>7.5510000000000002</v>
      </c>
    </row>
    <row r="339" spans="1:10" x14ac:dyDescent="0.35">
      <c r="A339">
        <v>3</v>
      </c>
      <c r="B339" t="s">
        <v>38</v>
      </c>
      <c r="C339">
        <v>364866.24</v>
      </c>
      <c r="D339">
        <v>0</v>
      </c>
      <c r="E339">
        <v>48.71</v>
      </c>
      <c r="F339">
        <v>3.01</v>
      </c>
      <c r="G339">
        <v>215.5065821</v>
      </c>
      <c r="H339">
        <v>7.5510000000000002</v>
      </c>
    </row>
    <row r="340" spans="1:10" x14ac:dyDescent="0.35">
      <c r="A340">
        <v>3</v>
      </c>
      <c r="B340" s="1">
        <v>40635</v>
      </c>
      <c r="C340">
        <v>438516.53</v>
      </c>
      <c r="D340">
        <v>0</v>
      </c>
      <c r="E340">
        <v>45.95</v>
      </c>
      <c r="F340">
        <v>2.9889999999999999</v>
      </c>
      <c r="G340">
        <v>215.88633669999999</v>
      </c>
      <c r="H340">
        <v>7.5510000000000002</v>
      </c>
    </row>
    <row r="341" spans="1:10" x14ac:dyDescent="0.35">
      <c r="A341">
        <v>3</v>
      </c>
      <c r="B341" s="1">
        <v>40849</v>
      </c>
      <c r="C341">
        <v>430526.21</v>
      </c>
      <c r="D341">
        <v>1</v>
      </c>
      <c r="E341">
        <v>43.57</v>
      </c>
      <c r="F341">
        <v>3.0219999999999998</v>
      </c>
      <c r="G341">
        <v>216.2660913</v>
      </c>
      <c r="H341">
        <v>7.5510000000000002</v>
      </c>
      <c r="J341" s="1"/>
    </row>
    <row r="342" spans="1:10" x14ac:dyDescent="0.35">
      <c r="A342">
        <v>3</v>
      </c>
      <c r="B342" t="s">
        <v>39</v>
      </c>
      <c r="C342">
        <v>432782.1</v>
      </c>
      <c r="D342">
        <v>0</v>
      </c>
      <c r="E342">
        <v>61.58</v>
      </c>
      <c r="F342">
        <v>3.0449999999999999</v>
      </c>
      <c r="G342">
        <v>216.58435710000001</v>
      </c>
      <c r="H342">
        <v>7.5510000000000002</v>
      </c>
      <c r="J342" s="1"/>
    </row>
    <row r="343" spans="1:10" x14ac:dyDescent="0.35">
      <c r="A343">
        <v>3</v>
      </c>
      <c r="B343" t="s">
        <v>40</v>
      </c>
      <c r="C343">
        <v>397211.19</v>
      </c>
      <c r="D343">
        <v>0</v>
      </c>
      <c r="E343">
        <v>67.400000000000006</v>
      </c>
      <c r="F343">
        <v>3.0649999999999999</v>
      </c>
      <c r="G343">
        <v>216.8780275</v>
      </c>
      <c r="H343">
        <v>7.5510000000000002</v>
      </c>
    </row>
    <row r="344" spans="1:10" x14ac:dyDescent="0.35">
      <c r="A344">
        <v>3</v>
      </c>
      <c r="B344" s="1">
        <v>40636</v>
      </c>
      <c r="C344">
        <v>437084.51</v>
      </c>
      <c r="D344">
        <v>0</v>
      </c>
      <c r="E344">
        <v>65.11</v>
      </c>
      <c r="F344">
        <v>3.2879999999999998</v>
      </c>
      <c r="G344">
        <v>217.1716979</v>
      </c>
      <c r="H344">
        <v>7.5510000000000002</v>
      </c>
    </row>
    <row r="345" spans="1:10" x14ac:dyDescent="0.35">
      <c r="A345">
        <v>3</v>
      </c>
      <c r="B345" s="1">
        <v>40850</v>
      </c>
      <c r="C345">
        <v>404753.3</v>
      </c>
      <c r="D345">
        <v>0</v>
      </c>
      <c r="E345">
        <v>61.29</v>
      </c>
      <c r="F345">
        <v>3.4590000000000001</v>
      </c>
      <c r="G345">
        <v>217.46536829999999</v>
      </c>
      <c r="H345">
        <v>7.5510000000000002</v>
      </c>
      <c r="J345" s="1"/>
    </row>
    <row r="346" spans="1:10" x14ac:dyDescent="0.35">
      <c r="A346">
        <v>3</v>
      </c>
      <c r="B346" t="s">
        <v>41</v>
      </c>
      <c r="C346">
        <v>392109.51</v>
      </c>
      <c r="D346">
        <v>0</v>
      </c>
      <c r="E346">
        <v>69.47</v>
      </c>
      <c r="F346">
        <v>3.488</v>
      </c>
      <c r="G346">
        <v>217.7235226</v>
      </c>
      <c r="H346">
        <v>7.5510000000000002</v>
      </c>
      <c r="J346" s="1"/>
    </row>
    <row r="347" spans="1:10" x14ac:dyDescent="0.35">
      <c r="A347">
        <v>3</v>
      </c>
      <c r="B347" t="s">
        <v>42</v>
      </c>
      <c r="C347">
        <v>380683.67</v>
      </c>
      <c r="D347">
        <v>0</v>
      </c>
      <c r="E347">
        <v>72.94</v>
      </c>
      <c r="F347">
        <v>3.4729999999999999</v>
      </c>
      <c r="G347">
        <v>217.96747049999999</v>
      </c>
      <c r="H347">
        <v>7.5510000000000002</v>
      </c>
    </row>
    <row r="348" spans="1:10" x14ac:dyDescent="0.35">
      <c r="A348">
        <v>3</v>
      </c>
      <c r="B348" s="1">
        <v>40547</v>
      </c>
      <c r="C348">
        <v>374556.08</v>
      </c>
      <c r="D348">
        <v>0</v>
      </c>
      <c r="E348">
        <v>68.760000000000005</v>
      </c>
      <c r="F348">
        <v>3.524</v>
      </c>
      <c r="G348">
        <v>218.21141840000001</v>
      </c>
      <c r="H348">
        <v>7.5739999999999998</v>
      </c>
    </row>
    <row r="349" spans="1:10" x14ac:dyDescent="0.35">
      <c r="A349">
        <v>3</v>
      </c>
      <c r="B349" s="1">
        <v>40759</v>
      </c>
      <c r="C349">
        <v>384075.31</v>
      </c>
      <c r="D349">
        <v>0</v>
      </c>
      <c r="E349">
        <v>72.55</v>
      </c>
      <c r="F349">
        <v>3.6219999999999999</v>
      </c>
      <c r="G349">
        <v>218.45536630000001</v>
      </c>
      <c r="H349">
        <v>7.5739999999999998</v>
      </c>
      <c r="J349" s="1"/>
    </row>
    <row r="350" spans="1:10" x14ac:dyDescent="0.35">
      <c r="A350">
        <v>3</v>
      </c>
      <c r="B350" t="s">
        <v>43</v>
      </c>
      <c r="C350">
        <v>366250.69</v>
      </c>
      <c r="D350">
        <v>0</v>
      </c>
      <c r="E350">
        <v>75.88</v>
      </c>
      <c r="F350">
        <v>3.7429999999999999</v>
      </c>
      <c r="G350">
        <v>218.67886419999999</v>
      </c>
      <c r="H350">
        <v>7.5739999999999998</v>
      </c>
      <c r="J350" s="1"/>
    </row>
    <row r="351" spans="1:10" x14ac:dyDescent="0.35">
      <c r="A351">
        <v>3</v>
      </c>
      <c r="B351" t="s">
        <v>44</v>
      </c>
      <c r="C351">
        <v>391860.04</v>
      </c>
      <c r="D351">
        <v>0</v>
      </c>
      <c r="E351">
        <v>76.91</v>
      </c>
      <c r="F351">
        <v>3.8069999999999999</v>
      </c>
      <c r="G351">
        <v>218.851237</v>
      </c>
      <c r="H351">
        <v>7.5739999999999998</v>
      </c>
    </row>
    <row r="352" spans="1:10" x14ac:dyDescent="0.35">
      <c r="A352">
        <v>3</v>
      </c>
      <c r="B352" t="s">
        <v>45</v>
      </c>
      <c r="C352">
        <v>367405.4</v>
      </c>
      <c r="D352">
        <v>0</v>
      </c>
      <c r="E352">
        <v>78.69</v>
      </c>
      <c r="F352">
        <v>3.81</v>
      </c>
      <c r="G352">
        <v>219.0236099</v>
      </c>
      <c r="H352">
        <v>7.5739999999999998</v>
      </c>
    </row>
    <row r="353" spans="1:10" x14ac:dyDescent="0.35">
      <c r="A353">
        <v>3</v>
      </c>
      <c r="B353" s="1">
        <v>40699</v>
      </c>
      <c r="C353">
        <v>413042.12</v>
      </c>
      <c r="D353">
        <v>0</v>
      </c>
      <c r="E353">
        <v>69.45</v>
      </c>
      <c r="F353">
        <v>3.9060000000000001</v>
      </c>
      <c r="G353">
        <v>219.1959827</v>
      </c>
      <c r="H353">
        <v>7.5739999999999998</v>
      </c>
    </row>
    <row r="354" spans="1:10" x14ac:dyDescent="0.35">
      <c r="A354">
        <v>3</v>
      </c>
      <c r="B354" t="s">
        <v>46</v>
      </c>
      <c r="C354">
        <v>386312.68</v>
      </c>
      <c r="D354">
        <v>0</v>
      </c>
      <c r="E354">
        <v>79.87</v>
      </c>
      <c r="F354">
        <v>3.899</v>
      </c>
      <c r="G354">
        <v>219.3683556</v>
      </c>
      <c r="H354">
        <v>7.5739999999999998</v>
      </c>
      <c r="J354" s="1"/>
    </row>
    <row r="355" spans="1:10" x14ac:dyDescent="0.35">
      <c r="A355">
        <v>3</v>
      </c>
      <c r="B355" t="s">
        <v>47</v>
      </c>
      <c r="C355">
        <v>364603.13</v>
      </c>
      <c r="D355">
        <v>0</v>
      </c>
      <c r="E355">
        <v>75.790000000000006</v>
      </c>
      <c r="F355">
        <v>3.907</v>
      </c>
      <c r="G355">
        <v>219.127216</v>
      </c>
      <c r="H355">
        <v>7.5739999999999998</v>
      </c>
    </row>
    <row r="356" spans="1:10" x14ac:dyDescent="0.35">
      <c r="A356">
        <v>3</v>
      </c>
      <c r="B356" t="s">
        <v>48</v>
      </c>
      <c r="C356">
        <v>369350.6</v>
      </c>
      <c r="D356">
        <v>0</v>
      </c>
      <c r="E356">
        <v>84.41</v>
      </c>
      <c r="F356">
        <v>3.786</v>
      </c>
      <c r="G356">
        <v>218.8860765</v>
      </c>
      <c r="H356">
        <v>7.5739999999999998</v>
      </c>
    </row>
    <row r="357" spans="1:10" x14ac:dyDescent="0.35">
      <c r="A357">
        <v>3</v>
      </c>
      <c r="B357" s="1">
        <v>40608</v>
      </c>
      <c r="C357">
        <v>394507.84</v>
      </c>
      <c r="D357">
        <v>0</v>
      </c>
      <c r="E357">
        <v>84.29</v>
      </c>
      <c r="F357">
        <v>3.6989999999999998</v>
      </c>
      <c r="G357">
        <v>218.6449369</v>
      </c>
      <c r="H357">
        <v>7.5739999999999998</v>
      </c>
    </row>
    <row r="358" spans="1:10" x14ac:dyDescent="0.35">
      <c r="A358">
        <v>3</v>
      </c>
      <c r="B358" s="1">
        <v>40822</v>
      </c>
      <c r="C358">
        <v>391638.75</v>
      </c>
      <c r="D358">
        <v>0</v>
      </c>
      <c r="E358">
        <v>84.84</v>
      </c>
      <c r="F358">
        <v>3.6480000000000001</v>
      </c>
      <c r="G358">
        <v>218.4037974</v>
      </c>
      <c r="H358">
        <v>7.5739999999999998</v>
      </c>
      <c r="J358" s="1"/>
    </row>
    <row r="359" spans="1:10" x14ac:dyDescent="0.35">
      <c r="A359">
        <v>3</v>
      </c>
      <c r="B359" t="s">
        <v>49</v>
      </c>
      <c r="C359">
        <v>403423.34</v>
      </c>
      <c r="D359">
        <v>0</v>
      </c>
      <c r="E359">
        <v>86.96</v>
      </c>
      <c r="F359">
        <v>3.637</v>
      </c>
      <c r="G359">
        <v>218.35517479999999</v>
      </c>
      <c r="H359">
        <v>7.5739999999999998</v>
      </c>
      <c r="J359" s="1"/>
    </row>
    <row r="360" spans="1:10" x14ac:dyDescent="0.35">
      <c r="A360">
        <v>3</v>
      </c>
      <c r="B360" t="s">
        <v>50</v>
      </c>
      <c r="C360">
        <v>385520.71</v>
      </c>
      <c r="D360">
        <v>0</v>
      </c>
      <c r="E360">
        <v>84.94</v>
      </c>
      <c r="F360">
        <v>3.5939999999999999</v>
      </c>
      <c r="G360">
        <v>218.45094</v>
      </c>
      <c r="H360">
        <v>7.5739999999999998</v>
      </c>
    </row>
    <row r="361" spans="1:10" x14ac:dyDescent="0.35">
      <c r="A361">
        <v>3</v>
      </c>
      <c r="B361" s="1">
        <v>40550</v>
      </c>
      <c r="C361">
        <v>368962.72</v>
      </c>
      <c r="D361">
        <v>0</v>
      </c>
      <c r="E361">
        <v>85.1</v>
      </c>
      <c r="F361">
        <v>3.524</v>
      </c>
      <c r="G361">
        <v>218.54670519999999</v>
      </c>
      <c r="H361">
        <v>7.5670000000000002</v>
      </c>
    </row>
    <row r="362" spans="1:10" x14ac:dyDescent="0.35">
      <c r="A362">
        <v>3</v>
      </c>
      <c r="B362" s="1">
        <v>40762</v>
      </c>
      <c r="C362">
        <v>395146.23999999999</v>
      </c>
      <c r="D362">
        <v>0</v>
      </c>
      <c r="E362">
        <v>85.38</v>
      </c>
      <c r="F362">
        <v>3.48</v>
      </c>
      <c r="G362">
        <v>218.64247040000001</v>
      </c>
      <c r="H362">
        <v>7.5670000000000002</v>
      </c>
      <c r="J362" s="1"/>
    </row>
    <row r="363" spans="1:10" x14ac:dyDescent="0.35">
      <c r="A363">
        <v>3</v>
      </c>
      <c r="B363" t="s">
        <v>51</v>
      </c>
      <c r="C363">
        <v>373454.33</v>
      </c>
      <c r="D363">
        <v>0</v>
      </c>
      <c r="E363">
        <v>87.14</v>
      </c>
      <c r="F363">
        <v>3.5750000000000002</v>
      </c>
      <c r="G363">
        <v>218.72752159999999</v>
      </c>
      <c r="H363">
        <v>7.5670000000000002</v>
      </c>
      <c r="J363" s="1"/>
    </row>
    <row r="364" spans="1:10" x14ac:dyDescent="0.35">
      <c r="A364">
        <v>3</v>
      </c>
      <c r="B364" t="s">
        <v>52</v>
      </c>
      <c r="C364">
        <v>360617.37</v>
      </c>
      <c r="D364">
        <v>0</v>
      </c>
      <c r="E364">
        <v>86.19</v>
      </c>
      <c r="F364">
        <v>3.6509999999999998</v>
      </c>
      <c r="G364">
        <v>218.78578809999999</v>
      </c>
      <c r="H364">
        <v>7.5670000000000002</v>
      </c>
    </row>
    <row r="365" spans="1:10" x14ac:dyDescent="0.35">
      <c r="A365">
        <v>3</v>
      </c>
      <c r="B365" t="s">
        <v>53</v>
      </c>
      <c r="C365">
        <v>345381.29</v>
      </c>
      <c r="D365">
        <v>0</v>
      </c>
      <c r="E365">
        <v>88.07</v>
      </c>
      <c r="F365">
        <v>3.6819999999999999</v>
      </c>
      <c r="G365">
        <v>218.8440545</v>
      </c>
      <c r="H365">
        <v>7.5670000000000002</v>
      </c>
    </row>
    <row r="366" spans="1:10" x14ac:dyDescent="0.35">
      <c r="A366">
        <v>3</v>
      </c>
      <c r="B366" s="1">
        <v>40671</v>
      </c>
      <c r="C366">
        <v>409981.25</v>
      </c>
      <c r="D366">
        <v>0</v>
      </c>
      <c r="E366">
        <v>88.45</v>
      </c>
      <c r="F366">
        <v>3.6840000000000002</v>
      </c>
      <c r="G366">
        <v>218.90232090000001</v>
      </c>
      <c r="H366">
        <v>7.5670000000000002</v>
      </c>
    </row>
    <row r="367" spans="1:10" x14ac:dyDescent="0.35">
      <c r="A367">
        <v>3</v>
      </c>
      <c r="B367" s="1">
        <v>40885</v>
      </c>
      <c r="C367">
        <v>380376.85</v>
      </c>
      <c r="D367">
        <v>0</v>
      </c>
      <c r="E367">
        <v>88.88</v>
      </c>
      <c r="F367">
        <v>3.6379999999999999</v>
      </c>
      <c r="G367">
        <v>218.96058729999999</v>
      </c>
      <c r="H367">
        <v>7.5670000000000002</v>
      </c>
      <c r="J367" s="1"/>
    </row>
    <row r="368" spans="1:10" x14ac:dyDescent="0.35">
      <c r="A368">
        <v>3</v>
      </c>
      <c r="B368" t="s">
        <v>54</v>
      </c>
      <c r="C368">
        <v>379716.91</v>
      </c>
      <c r="D368">
        <v>0</v>
      </c>
      <c r="E368">
        <v>88.44</v>
      </c>
      <c r="F368">
        <v>3.5539999999999998</v>
      </c>
      <c r="G368">
        <v>219.02327099999999</v>
      </c>
      <c r="H368">
        <v>7.5670000000000002</v>
      </c>
      <c r="J368" s="1"/>
    </row>
    <row r="369" spans="1:10" x14ac:dyDescent="0.35">
      <c r="A369">
        <v>3</v>
      </c>
      <c r="B369" t="s">
        <v>55</v>
      </c>
      <c r="C369">
        <v>366367.55</v>
      </c>
      <c r="D369">
        <v>0</v>
      </c>
      <c r="E369">
        <v>87.67</v>
      </c>
      <c r="F369">
        <v>3.5230000000000001</v>
      </c>
      <c r="G369">
        <v>219.08669080000001</v>
      </c>
      <c r="H369">
        <v>7.5670000000000002</v>
      </c>
    </row>
    <row r="370" spans="1:10" x14ac:dyDescent="0.35">
      <c r="A370">
        <v>3</v>
      </c>
      <c r="B370" s="1">
        <v>40583</v>
      </c>
      <c r="C370">
        <v>375988.69</v>
      </c>
      <c r="D370">
        <v>0</v>
      </c>
      <c r="E370">
        <v>89.12</v>
      </c>
      <c r="F370">
        <v>3.5329999999999999</v>
      </c>
      <c r="G370">
        <v>219.1501106</v>
      </c>
      <c r="H370">
        <v>7.5670000000000002</v>
      </c>
    </row>
    <row r="371" spans="1:10" x14ac:dyDescent="0.35">
      <c r="A371">
        <v>3</v>
      </c>
      <c r="B371" s="1">
        <v>40795</v>
      </c>
      <c r="C371">
        <v>377347.49</v>
      </c>
      <c r="D371">
        <v>1</v>
      </c>
      <c r="E371">
        <v>81.72</v>
      </c>
      <c r="F371">
        <v>3.5459999999999998</v>
      </c>
      <c r="G371">
        <v>219.21353049999999</v>
      </c>
      <c r="H371">
        <v>7.5670000000000002</v>
      </c>
      <c r="J371" s="1"/>
    </row>
    <row r="372" spans="1:10" x14ac:dyDescent="0.35">
      <c r="A372">
        <v>3</v>
      </c>
      <c r="B372" t="s">
        <v>56</v>
      </c>
      <c r="C372">
        <v>375629.51</v>
      </c>
      <c r="D372">
        <v>0</v>
      </c>
      <c r="E372">
        <v>83.63</v>
      </c>
      <c r="F372">
        <v>3.5259999999999998</v>
      </c>
      <c r="G372">
        <v>219.3972867</v>
      </c>
      <c r="H372">
        <v>7.5670000000000002</v>
      </c>
      <c r="J372" s="1"/>
    </row>
    <row r="373" spans="1:10" x14ac:dyDescent="0.35">
      <c r="A373">
        <v>3</v>
      </c>
      <c r="B373" t="s">
        <v>57</v>
      </c>
      <c r="C373">
        <v>365248.94</v>
      </c>
      <c r="D373">
        <v>0</v>
      </c>
      <c r="E373">
        <v>80.19</v>
      </c>
      <c r="F373">
        <v>3.4670000000000001</v>
      </c>
      <c r="G373">
        <v>219.7414914</v>
      </c>
      <c r="H373">
        <v>7.5670000000000002</v>
      </c>
    </row>
    <row r="374" spans="1:10" x14ac:dyDescent="0.35">
      <c r="A374">
        <v>3</v>
      </c>
      <c r="B374" t="s">
        <v>58</v>
      </c>
      <c r="C374">
        <v>368477.93</v>
      </c>
      <c r="D374">
        <v>0</v>
      </c>
      <c r="E374">
        <v>82.58</v>
      </c>
      <c r="F374">
        <v>3.355</v>
      </c>
      <c r="G374">
        <v>220.08569600000001</v>
      </c>
      <c r="H374">
        <v>7.5670000000000002</v>
      </c>
    </row>
    <row r="375" spans="1:10" x14ac:dyDescent="0.35">
      <c r="A375">
        <v>3</v>
      </c>
      <c r="B375" s="1">
        <v>40734</v>
      </c>
      <c r="C375">
        <v>403342.4</v>
      </c>
      <c r="D375">
        <v>0</v>
      </c>
      <c r="E375">
        <v>75.540000000000006</v>
      </c>
      <c r="F375">
        <v>-3.2850000000000001</v>
      </c>
      <c r="G375">
        <v>220.42990069999999</v>
      </c>
      <c r="H375">
        <v>7.1970000000000001</v>
      </c>
    </row>
    <row r="376" spans="1:10" x14ac:dyDescent="0.35">
      <c r="A376">
        <v>3</v>
      </c>
      <c r="B376" t="s">
        <v>59</v>
      </c>
      <c r="C376">
        <v>368282.57</v>
      </c>
      <c r="D376">
        <v>0</v>
      </c>
      <c r="E376">
        <v>73.75</v>
      </c>
      <c r="F376">
        <v>3.274</v>
      </c>
      <c r="G376">
        <v>220.74861670000001</v>
      </c>
      <c r="H376">
        <v>7.1970000000000001</v>
      </c>
      <c r="J376" s="1"/>
    </row>
    <row r="377" spans="1:10" x14ac:dyDescent="0.35">
      <c r="A377">
        <v>3</v>
      </c>
      <c r="B377" t="s">
        <v>60</v>
      </c>
      <c r="C377">
        <v>394976.36</v>
      </c>
      <c r="D377">
        <v>0</v>
      </c>
      <c r="E377">
        <v>69.03</v>
      </c>
      <c r="F377">
        <v>3.3530000000000002</v>
      </c>
      <c r="G377">
        <v>220.9144005</v>
      </c>
      <c r="H377">
        <v>7.1970000000000001</v>
      </c>
    </row>
    <row r="378" spans="1:10" x14ac:dyDescent="0.35">
      <c r="A378">
        <v>3</v>
      </c>
      <c r="B378" t="s">
        <v>61</v>
      </c>
      <c r="C378">
        <v>389540.62</v>
      </c>
      <c r="D378">
        <v>0</v>
      </c>
      <c r="E378">
        <v>71.040000000000006</v>
      </c>
      <c r="F378">
        <v>3.3719999999999999</v>
      </c>
      <c r="G378">
        <v>221.08018419999999</v>
      </c>
      <c r="H378">
        <v>7.1970000000000001</v>
      </c>
    </row>
    <row r="379" spans="1:10" x14ac:dyDescent="0.35">
      <c r="A379">
        <v>3</v>
      </c>
      <c r="B379" s="1">
        <v>40644</v>
      </c>
      <c r="C379">
        <v>459443.22</v>
      </c>
      <c r="D379">
        <v>0</v>
      </c>
      <c r="E379">
        <v>59.31</v>
      </c>
      <c r="F379">
        <v>3.3319999999999999</v>
      </c>
      <c r="G379">
        <v>221.245968</v>
      </c>
      <c r="H379">
        <v>7.1970000000000001</v>
      </c>
    </row>
    <row r="380" spans="1:10" x14ac:dyDescent="0.35">
      <c r="A380">
        <v>3</v>
      </c>
      <c r="B380" s="1">
        <v>40858</v>
      </c>
      <c r="C380">
        <v>407764.25</v>
      </c>
      <c r="D380">
        <v>0</v>
      </c>
      <c r="E380">
        <v>61.7</v>
      </c>
      <c r="F380">
        <v>3.2970000000000002</v>
      </c>
      <c r="G380">
        <v>221.4117517</v>
      </c>
      <c r="H380">
        <v>7.1970000000000001</v>
      </c>
      <c r="J380" s="1"/>
    </row>
    <row r="381" spans="1:10" x14ac:dyDescent="0.35">
      <c r="A381">
        <v>3</v>
      </c>
      <c r="B381" t="s">
        <v>62</v>
      </c>
      <c r="C381">
        <v>398838.97</v>
      </c>
      <c r="D381">
        <v>0</v>
      </c>
      <c r="E381">
        <v>63.91</v>
      </c>
      <c r="F381">
        <v>3.3079999999999998</v>
      </c>
      <c r="G381">
        <v>221.64328520000001</v>
      </c>
      <c r="H381">
        <v>7.1970000000000001</v>
      </c>
      <c r="J381" s="1"/>
    </row>
    <row r="382" spans="1:10" x14ac:dyDescent="0.35">
      <c r="A382">
        <v>3</v>
      </c>
      <c r="B382" t="s">
        <v>63</v>
      </c>
      <c r="C382">
        <v>556925.18999999994</v>
      </c>
      <c r="D382">
        <v>1</v>
      </c>
      <c r="E382">
        <v>68</v>
      </c>
      <c r="F382">
        <v>3.2360000000000002</v>
      </c>
      <c r="G382">
        <v>221.9011185</v>
      </c>
      <c r="H382">
        <v>7.1970000000000001</v>
      </c>
    </row>
    <row r="383" spans="1:10" x14ac:dyDescent="0.35">
      <c r="A383">
        <v>3</v>
      </c>
      <c r="B383" s="1">
        <v>40586</v>
      </c>
      <c r="C383">
        <v>472511.32</v>
      </c>
      <c r="D383">
        <v>0</v>
      </c>
      <c r="E383">
        <v>54.97</v>
      </c>
      <c r="F383">
        <v>3.1720000000000002</v>
      </c>
      <c r="G383">
        <v>222.15895190000001</v>
      </c>
      <c r="H383">
        <v>7.1970000000000001</v>
      </c>
    </row>
    <row r="384" spans="1:10" x14ac:dyDescent="0.35">
      <c r="A384">
        <v>3</v>
      </c>
      <c r="B384" s="1">
        <v>40798</v>
      </c>
      <c r="C384">
        <v>468772.8</v>
      </c>
      <c r="D384">
        <v>0</v>
      </c>
      <c r="E384">
        <v>49.26</v>
      </c>
      <c r="F384">
        <v>3.1579999999999999</v>
      </c>
      <c r="G384">
        <v>222.41678519999999</v>
      </c>
      <c r="H384">
        <v>7.1970000000000001</v>
      </c>
      <c r="J384" s="1"/>
    </row>
    <row r="385" spans="1:10" x14ac:dyDescent="0.35">
      <c r="A385">
        <v>3</v>
      </c>
      <c r="B385" t="s">
        <v>64</v>
      </c>
      <c r="C385">
        <v>510747.62</v>
      </c>
      <c r="D385">
        <v>0</v>
      </c>
      <c r="E385">
        <v>57.95</v>
      </c>
      <c r="F385">
        <v>3.1589999999999998</v>
      </c>
      <c r="G385">
        <v>222.64264180000001</v>
      </c>
      <c r="H385">
        <v>7.1970000000000001</v>
      </c>
      <c r="J385" s="1"/>
    </row>
    <row r="386" spans="1:10" x14ac:dyDescent="0.35">
      <c r="A386">
        <v>3</v>
      </c>
      <c r="B386" t="s">
        <v>65</v>
      </c>
      <c r="C386">
        <v>551221.21</v>
      </c>
      <c r="D386">
        <v>0</v>
      </c>
      <c r="E386">
        <v>53.41</v>
      </c>
      <c r="F386">
        <v>3.1120000000000001</v>
      </c>
      <c r="G386">
        <v>222.82586280000001</v>
      </c>
      <c r="H386">
        <v>7.1970000000000001</v>
      </c>
    </row>
    <row r="387" spans="1:10" x14ac:dyDescent="0.35">
      <c r="A387">
        <v>3</v>
      </c>
      <c r="B387" t="s">
        <v>66</v>
      </c>
      <c r="C387">
        <v>410553.88</v>
      </c>
      <c r="D387">
        <v>1</v>
      </c>
      <c r="E387">
        <v>48.29</v>
      </c>
      <c r="F387">
        <v>3.129</v>
      </c>
      <c r="G387">
        <v>223.00908390000001</v>
      </c>
      <c r="H387">
        <v>7.1970000000000001</v>
      </c>
    </row>
    <row r="388" spans="1:10" x14ac:dyDescent="0.35">
      <c r="A388">
        <v>3</v>
      </c>
      <c r="B388" s="1">
        <v>41061</v>
      </c>
      <c r="C388">
        <v>398178.21</v>
      </c>
      <c r="D388">
        <v>0</v>
      </c>
      <c r="E388">
        <v>52.42</v>
      </c>
      <c r="F388">
        <v>3.157</v>
      </c>
      <c r="G388">
        <v>223.19230490000001</v>
      </c>
      <c r="H388">
        <v>6.8330000000000002</v>
      </c>
    </row>
    <row r="389" spans="1:10" x14ac:dyDescent="0.35">
      <c r="A389">
        <v>3</v>
      </c>
      <c r="B389" t="s">
        <v>67</v>
      </c>
      <c r="C389">
        <v>367438.62</v>
      </c>
      <c r="D389">
        <v>0</v>
      </c>
      <c r="E389">
        <v>51.86</v>
      </c>
      <c r="F389">
        <v>3.2610000000000001</v>
      </c>
      <c r="G389">
        <v>223.37552590000001</v>
      </c>
      <c r="H389">
        <v>6.8330000000000002</v>
      </c>
      <c r="J389" s="1"/>
    </row>
    <row r="390" spans="1:10" x14ac:dyDescent="0.35">
      <c r="A390">
        <v>3</v>
      </c>
      <c r="B390" t="s">
        <v>68</v>
      </c>
      <c r="C390">
        <v>365818.61</v>
      </c>
      <c r="D390">
        <v>0</v>
      </c>
      <c r="E390">
        <v>56.2</v>
      </c>
      <c r="F390">
        <v>3.2679999999999998</v>
      </c>
      <c r="G390">
        <v>223.47005519999999</v>
      </c>
      <c r="H390">
        <v>6.8330000000000002</v>
      </c>
    </row>
    <row r="391" spans="1:10" x14ac:dyDescent="0.35">
      <c r="A391">
        <v>3</v>
      </c>
      <c r="B391" t="s">
        <v>69</v>
      </c>
      <c r="C391">
        <v>349518.1</v>
      </c>
      <c r="D391">
        <v>0</v>
      </c>
      <c r="E391">
        <v>58.06</v>
      </c>
      <c r="F391">
        <v>3.29</v>
      </c>
      <c r="G391">
        <v>223.5645845</v>
      </c>
      <c r="H391">
        <v>6.8330000000000002</v>
      </c>
    </row>
    <row r="392" spans="1:10" x14ac:dyDescent="0.35">
      <c r="A392">
        <v>3</v>
      </c>
      <c r="B392" s="1">
        <v>40970</v>
      </c>
      <c r="C392">
        <v>424960.66</v>
      </c>
      <c r="D392">
        <v>0</v>
      </c>
      <c r="E392">
        <v>59.33</v>
      </c>
      <c r="F392">
        <v>3.36</v>
      </c>
      <c r="G392">
        <v>223.65911370000001</v>
      </c>
      <c r="H392">
        <v>6.8330000000000002</v>
      </c>
    </row>
    <row r="393" spans="1:10" x14ac:dyDescent="0.35">
      <c r="A393">
        <v>3</v>
      </c>
      <c r="B393" s="1">
        <v>41184</v>
      </c>
      <c r="C393">
        <v>473292.47</v>
      </c>
      <c r="D393">
        <v>1</v>
      </c>
      <c r="E393">
        <v>51.65</v>
      </c>
      <c r="F393">
        <v>3.4089999999999998</v>
      </c>
      <c r="G393">
        <v>223.75364300000001</v>
      </c>
      <c r="H393">
        <v>6.8330000000000002</v>
      </c>
      <c r="J393" s="1"/>
    </row>
    <row r="394" spans="1:10" x14ac:dyDescent="0.35">
      <c r="A394">
        <v>3</v>
      </c>
      <c r="B394" t="s">
        <v>70</v>
      </c>
      <c r="C394">
        <v>475591.08</v>
      </c>
      <c r="D394">
        <v>0</v>
      </c>
      <c r="E394">
        <v>52.39</v>
      </c>
      <c r="F394">
        <v>3.51</v>
      </c>
      <c r="G394">
        <v>223.9170153</v>
      </c>
      <c r="H394">
        <v>6.8330000000000002</v>
      </c>
      <c r="J394" s="1"/>
    </row>
    <row r="395" spans="1:10" x14ac:dyDescent="0.35">
      <c r="A395">
        <v>3</v>
      </c>
      <c r="B395" t="s">
        <v>71</v>
      </c>
      <c r="C395">
        <v>418925.47</v>
      </c>
      <c r="D395">
        <v>0</v>
      </c>
      <c r="E395">
        <v>60.12</v>
      </c>
      <c r="F395">
        <v>3.5550000000000002</v>
      </c>
      <c r="G395">
        <v>224.13201989999999</v>
      </c>
      <c r="H395">
        <v>6.8330000000000002</v>
      </c>
    </row>
    <row r="396" spans="1:10" x14ac:dyDescent="0.35">
      <c r="A396">
        <v>3</v>
      </c>
      <c r="B396" s="1">
        <v>40942</v>
      </c>
      <c r="C396">
        <v>469752.56</v>
      </c>
      <c r="D396">
        <v>0</v>
      </c>
      <c r="E396">
        <v>61.65</v>
      </c>
      <c r="F396">
        <v>3.63</v>
      </c>
      <c r="G396">
        <v>224.3470245</v>
      </c>
      <c r="H396">
        <v>6.8330000000000002</v>
      </c>
    </row>
    <row r="397" spans="1:10" x14ac:dyDescent="0.35">
      <c r="A397">
        <v>3</v>
      </c>
      <c r="B397" s="1">
        <v>41155</v>
      </c>
      <c r="C397">
        <v>445162.05</v>
      </c>
      <c r="D397">
        <v>0</v>
      </c>
      <c r="E397">
        <v>60.71</v>
      </c>
      <c r="F397">
        <v>3.669</v>
      </c>
      <c r="G397">
        <v>224.56202909999999</v>
      </c>
      <c r="H397">
        <v>6.8330000000000002</v>
      </c>
      <c r="J397" s="1"/>
    </row>
    <row r="398" spans="1:10" x14ac:dyDescent="0.35">
      <c r="A398">
        <v>3</v>
      </c>
      <c r="B398" t="s">
        <v>72</v>
      </c>
      <c r="C398">
        <v>411775.8</v>
      </c>
      <c r="D398">
        <v>0</v>
      </c>
      <c r="E398">
        <v>64</v>
      </c>
      <c r="F398">
        <v>3.734</v>
      </c>
      <c r="G398">
        <v>224.7166953</v>
      </c>
      <c r="H398">
        <v>6.8330000000000002</v>
      </c>
      <c r="J398" s="1"/>
    </row>
    <row r="399" spans="1:10" x14ac:dyDescent="0.35">
      <c r="A399">
        <v>3</v>
      </c>
      <c r="B399" t="s">
        <v>73</v>
      </c>
      <c r="C399">
        <v>413907.25</v>
      </c>
      <c r="D399">
        <v>0</v>
      </c>
      <c r="E399">
        <v>66.53</v>
      </c>
      <c r="F399" t="s">
        <v>108</v>
      </c>
      <c r="G399">
        <v>224.7909104</v>
      </c>
      <c r="H399">
        <v>6.8330000000000002</v>
      </c>
    </row>
    <row r="400" spans="1:10" x14ac:dyDescent="0.35">
      <c r="A400">
        <v>3</v>
      </c>
      <c r="B400" t="s">
        <v>74</v>
      </c>
      <c r="C400">
        <v>407488.84</v>
      </c>
      <c r="D400">
        <v>0</v>
      </c>
      <c r="E400">
        <v>69.36</v>
      </c>
      <c r="F400">
        <v>3.8450000000000002</v>
      </c>
      <c r="G400">
        <v>224.86512540000001</v>
      </c>
      <c r="H400">
        <v>6.8330000000000002</v>
      </c>
    </row>
    <row r="401" spans="1:10" x14ac:dyDescent="0.35">
      <c r="A401">
        <v>3</v>
      </c>
      <c r="B401" s="1">
        <v>41064</v>
      </c>
      <c r="C401">
        <v>503232.13</v>
      </c>
      <c r="D401">
        <v>0</v>
      </c>
      <c r="E401">
        <v>73.010000000000005</v>
      </c>
      <c r="F401">
        <v>3.891</v>
      </c>
      <c r="G401">
        <v>224.93934049999999</v>
      </c>
      <c r="H401">
        <v>6.6639999999999997</v>
      </c>
    </row>
    <row r="402" spans="1:10" ht="13.5" customHeight="1" x14ac:dyDescent="0.35">
      <c r="A402">
        <v>1</v>
      </c>
      <c r="B402" s="1">
        <v>40976</v>
      </c>
      <c r="C402">
        <v>1631135.79</v>
      </c>
      <c r="D402">
        <v>0</v>
      </c>
      <c r="E402">
        <v>86.11</v>
      </c>
      <c r="F402">
        <v>3.4169999999999998</v>
      </c>
      <c r="G402">
        <v>221.94986420000001</v>
      </c>
      <c r="H402">
        <v>6.9080000000000004</v>
      </c>
      <c r="J402" s="1"/>
    </row>
    <row r="403" spans="1:10" x14ac:dyDescent="0.35">
      <c r="A403">
        <v>1</v>
      </c>
      <c r="B403" s="1">
        <v>41190</v>
      </c>
      <c r="C403">
        <v>1592409.97</v>
      </c>
      <c r="D403">
        <v>0</v>
      </c>
      <c r="E403">
        <v>85.05</v>
      </c>
      <c r="F403">
        <v>3.4940000000000002</v>
      </c>
      <c r="G403">
        <v>221.95843289999999</v>
      </c>
      <c r="H403">
        <v>6.9080000000000004</v>
      </c>
      <c r="J403" s="1"/>
    </row>
    <row r="404" spans="1:10" x14ac:dyDescent="0.35">
      <c r="A404">
        <v>1</v>
      </c>
      <c r="B404" t="s">
        <v>86</v>
      </c>
      <c r="C404">
        <v>1597868.05</v>
      </c>
      <c r="D404">
        <v>0</v>
      </c>
      <c r="E404">
        <v>84.85</v>
      </c>
      <c r="F404">
        <v>3.5710000000000002</v>
      </c>
      <c r="G404">
        <v>222.0384109</v>
      </c>
      <c r="H404">
        <v>6.9080000000000004</v>
      </c>
      <c r="J404" s="1"/>
    </row>
    <row r="405" spans="1:10" x14ac:dyDescent="0.35">
      <c r="A405">
        <v>1</v>
      </c>
      <c r="B405" t="s">
        <v>87</v>
      </c>
      <c r="C405">
        <v>1494122.38</v>
      </c>
      <c r="D405">
        <v>0</v>
      </c>
      <c r="E405">
        <v>77.66</v>
      </c>
      <c r="F405">
        <v>3.62</v>
      </c>
      <c r="G405">
        <v>222.17194570000001</v>
      </c>
      <c r="H405">
        <v>6.9080000000000004</v>
      </c>
      <c r="J405" s="1"/>
    </row>
    <row r="406" spans="1:10" x14ac:dyDescent="0.35">
      <c r="A406">
        <v>1</v>
      </c>
      <c r="B406" t="s">
        <v>88</v>
      </c>
      <c r="C406">
        <v>1582083.4</v>
      </c>
      <c r="D406">
        <v>0</v>
      </c>
      <c r="E406">
        <v>80.489999999999995</v>
      </c>
      <c r="F406">
        <v>3.6379999999999999</v>
      </c>
      <c r="G406">
        <v>222.30548049999999</v>
      </c>
      <c r="H406">
        <v>6.9080000000000004</v>
      </c>
      <c r="J406" s="1"/>
    </row>
    <row r="407" spans="1:10" x14ac:dyDescent="0.35">
      <c r="A407">
        <v>1</v>
      </c>
      <c r="B407" s="1">
        <v>41099</v>
      </c>
      <c r="C407">
        <v>1661767.33</v>
      </c>
      <c r="D407">
        <v>1</v>
      </c>
      <c r="E407">
        <v>83.96</v>
      </c>
      <c r="F407">
        <v>3.73</v>
      </c>
      <c r="G407">
        <v>222.43901529999999</v>
      </c>
      <c r="H407">
        <v>6.9080000000000004</v>
      </c>
    </row>
    <row r="408" spans="1:10" x14ac:dyDescent="0.35">
      <c r="A408">
        <v>1</v>
      </c>
      <c r="B408" t="s">
        <v>89</v>
      </c>
      <c r="C408">
        <v>1517428.87</v>
      </c>
      <c r="D408">
        <v>0</v>
      </c>
      <c r="E408">
        <v>74.97</v>
      </c>
      <c r="F408">
        <v>3.7170000000000001</v>
      </c>
      <c r="G408">
        <v>222.58201930000001</v>
      </c>
      <c r="H408">
        <v>6.9080000000000004</v>
      </c>
      <c r="J408" s="1"/>
    </row>
    <row r="409" spans="1:10" x14ac:dyDescent="0.35">
      <c r="A409">
        <v>1</v>
      </c>
      <c r="B409" t="s">
        <v>90</v>
      </c>
      <c r="C409">
        <v>1506126.06</v>
      </c>
      <c r="D409">
        <v>0</v>
      </c>
      <c r="E409">
        <v>69.87</v>
      </c>
      <c r="F409">
        <v>3.7210000000000001</v>
      </c>
      <c r="G409">
        <v>222.78183859999999</v>
      </c>
      <c r="H409">
        <v>6.9080000000000004</v>
      </c>
    </row>
    <row r="410" spans="1:10" x14ac:dyDescent="0.35">
      <c r="A410">
        <v>1</v>
      </c>
      <c r="B410" t="s">
        <v>91</v>
      </c>
      <c r="C410">
        <v>1437059.26</v>
      </c>
      <c r="D410">
        <v>0</v>
      </c>
      <c r="E410">
        <v>76.08</v>
      </c>
      <c r="F410">
        <v>3.6659999999999999</v>
      </c>
      <c r="G410">
        <v>222.98165789999999</v>
      </c>
      <c r="H410">
        <v>6.9080000000000004</v>
      </c>
    </row>
    <row r="411" spans="1:10" x14ac:dyDescent="0.35">
      <c r="A411">
        <v>1</v>
      </c>
      <c r="B411" s="1">
        <v>41039</v>
      </c>
      <c r="C411">
        <v>1670785.97</v>
      </c>
      <c r="D411">
        <v>0</v>
      </c>
      <c r="E411">
        <v>68.55</v>
      </c>
      <c r="F411">
        <v>3.617</v>
      </c>
      <c r="G411">
        <v>223.18147719999999</v>
      </c>
      <c r="H411">
        <v>6.5730000000000004</v>
      </c>
    </row>
    <row r="412" spans="1:10" x14ac:dyDescent="0.35">
      <c r="A412">
        <v>1</v>
      </c>
      <c r="B412" s="1">
        <v>41253</v>
      </c>
      <c r="C412">
        <v>1573072.81</v>
      </c>
      <c r="D412">
        <v>0</v>
      </c>
      <c r="E412">
        <v>62.99</v>
      </c>
      <c r="F412">
        <v>3.601</v>
      </c>
      <c r="G412">
        <v>223.38129649999999</v>
      </c>
      <c r="H412">
        <v>6.5730000000000004</v>
      </c>
    </row>
    <row r="413" spans="1:10" x14ac:dyDescent="0.35">
      <c r="A413">
        <v>2</v>
      </c>
      <c r="B413" s="1">
        <v>40400</v>
      </c>
      <c r="C413">
        <v>1849921.44</v>
      </c>
      <c r="D413">
        <v>0</v>
      </c>
      <c r="E413">
        <v>63.19</v>
      </c>
      <c r="F413">
        <v>2.633</v>
      </c>
      <c r="G413">
        <v>211.4044906</v>
      </c>
      <c r="H413">
        <v>8.1630000000000003</v>
      </c>
    </row>
    <row r="414" spans="1:10" x14ac:dyDescent="0.35">
      <c r="A414">
        <v>2</v>
      </c>
      <c r="B414" t="s">
        <v>28</v>
      </c>
      <c r="C414">
        <v>1794355.49</v>
      </c>
      <c r="D414">
        <v>0</v>
      </c>
      <c r="E414">
        <v>65.8</v>
      </c>
      <c r="F414">
        <v>2.72</v>
      </c>
      <c r="G414">
        <v>211.47132859999999</v>
      </c>
      <c r="H414">
        <v>8.1630000000000003</v>
      </c>
    </row>
    <row r="415" spans="1:10" x14ac:dyDescent="0.35">
      <c r="A415">
        <v>2</v>
      </c>
      <c r="B415" t="s">
        <v>29</v>
      </c>
      <c r="C415">
        <v>1737947.64</v>
      </c>
      <c r="D415">
        <v>0</v>
      </c>
      <c r="E415">
        <v>68.5</v>
      </c>
      <c r="F415">
        <v>2.7250000000000001</v>
      </c>
      <c r="G415">
        <v>211.51872080000001</v>
      </c>
      <c r="H415">
        <v>8.1630000000000003</v>
      </c>
    </row>
    <row r="416" spans="1:10" x14ac:dyDescent="0.35">
      <c r="A416">
        <v>2</v>
      </c>
      <c r="B416" t="s">
        <v>30</v>
      </c>
      <c r="C416">
        <v>1802755.11</v>
      </c>
      <c r="D416">
        <v>0</v>
      </c>
      <c r="E416">
        <v>66.239999999999995</v>
      </c>
      <c r="F416">
        <v>2.7160000000000002</v>
      </c>
      <c r="G416">
        <v>211.5661131</v>
      </c>
      <c r="H416">
        <v>8.1630000000000003</v>
      </c>
    </row>
    <row r="417" spans="1:8" x14ac:dyDescent="0.35">
      <c r="A417">
        <v>2</v>
      </c>
      <c r="B417" s="1">
        <v>40309</v>
      </c>
      <c r="C417">
        <v>1939061.41</v>
      </c>
      <c r="D417">
        <v>0</v>
      </c>
      <c r="E417">
        <v>57.85</v>
      </c>
      <c r="F417">
        <v>2.6890000000000001</v>
      </c>
      <c r="G417">
        <v>211.61350530000001</v>
      </c>
      <c r="H417">
        <v>8.1630000000000003</v>
      </c>
    </row>
    <row r="418" spans="1:8" x14ac:dyDescent="0.35">
      <c r="A418">
        <v>2</v>
      </c>
      <c r="B418" s="1">
        <v>40523</v>
      </c>
      <c r="C418">
        <v>1916812.74</v>
      </c>
      <c r="D418">
        <v>0</v>
      </c>
      <c r="E418">
        <v>59.69</v>
      </c>
      <c r="F418">
        <v>2.7280000000000002</v>
      </c>
      <c r="G418">
        <v>211.6608975</v>
      </c>
      <c r="H418">
        <v>8.1630000000000003</v>
      </c>
    </row>
    <row r="419" spans="1:8" x14ac:dyDescent="0.35">
      <c r="A419">
        <v>2</v>
      </c>
      <c r="B419" t="s">
        <v>31</v>
      </c>
      <c r="C419">
        <v>1956739.17</v>
      </c>
      <c r="D419">
        <v>0</v>
      </c>
      <c r="E419">
        <v>50.81</v>
      </c>
      <c r="F419">
        <v>2.7709999999999999</v>
      </c>
      <c r="G419">
        <v>211.54703040000001</v>
      </c>
      <c r="H419">
        <v>8.1630000000000003</v>
      </c>
    </row>
    <row r="420" spans="1:8" x14ac:dyDescent="0.35">
      <c r="A420">
        <v>2</v>
      </c>
      <c r="B420" t="s">
        <v>32</v>
      </c>
      <c r="C420">
        <v>2658725.29</v>
      </c>
      <c r="D420">
        <v>1</v>
      </c>
      <c r="E420">
        <v>62.98</v>
      </c>
      <c r="F420">
        <v>2.7349999999999999</v>
      </c>
      <c r="G420">
        <v>211.40628670000001</v>
      </c>
      <c r="H420">
        <v>8.1630000000000003</v>
      </c>
    </row>
    <row r="421" spans="1:8" x14ac:dyDescent="0.35">
      <c r="A421">
        <v>2</v>
      </c>
      <c r="B421" s="1">
        <v>40249</v>
      </c>
      <c r="C421">
        <v>2015781.27</v>
      </c>
      <c r="D421">
        <v>0</v>
      </c>
      <c r="E421">
        <v>49.33</v>
      </c>
      <c r="F421">
        <v>2.7080000000000002</v>
      </c>
      <c r="G421">
        <v>211.26554300000001</v>
      </c>
      <c r="H421">
        <v>8.1630000000000003</v>
      </c>
    </row>
    <row r="422" spans="1:8" x14ac:dyDescent="0.35">
      <c r="A422">
        <v>2</v>
      </c>
      <c r="B422" s="1">
        <v>40463</v>
      </c>
      <c r="C422">
        <v>2378726.5499999998</v>
      </c>
      <c r="D422">
        <v>0</v>
      </c>
      <c r="E422">
        <v>45.5</v>
      </c>
      <c r="F422">
        <v>2.843</v>
      </c>
      <c r="G422">
        <v>211.12479930000001</v>
      </c>
      <c r="H422">
        <v>8.1630000000000003</v>
      </c>
    </row>
    <row r="423" spans="1:8" x14ac:dyDescent="0.35">
      <c r="A423">
        <v>2</v>
      </c>
      <c r="B423" t="s">
        <v>33</v>
      </c>
      <c r="C423">
        <v>2609166.75</v>
      </c>
      <c r="D423">
        <v>0</v>
      </c>
      <c r="E423">
        <v>47.55</v>
      </c>
      <c r="F423">
        <v>2.8690000000000002</v>
      </c>
      <c r="G423">
        <v>211.06454579999999</v>
      </c>
      <c r="H423">
        <v>8.1630000000000003</v>
      </c>
    </row>
    <row r="424" spans="1:8" x14ac:dyDescent="0.35">
      <c r="A424">
        <v>3</v>
      </c>
      <c r="B424" t="s">
        <v>18</v>
      </c>
      <c r="C424">
        <v>364076.85</v>
      </c>
      <c r="D424">
        <v>0</v>
      </c>
      <c r="E424">
        <v>83.52</v>
      </c>
      <c r="F424">
        <v>2.637</v>
      </c>
      <c r="G424">
        <v>214.78582589999999</v>
      </c>
      <c r="H424">
        <v>7.343</v>
      </c>
    </row>
    <row r="425" spans="1:8" x14ac:dyDescent="0.35">
      <c r="A425">
        <v>3</v>
      </c>
      <c r="B425" t="s">
        <v>19</v>
      </c>
      <c r="C425">
        <v>357346.48</v>
      </c>
      <c r="D425">
        <v>0</v>
      </c>
      <c r="E425">
        <v>83.79</v>
      </c>
      <c r="F425">
        <v>2.653</v>
      </c>
      <c r="G425">
        <v>214.6660741</v>
      </c>
      <c r="H425">
        <v>7.343</v>
      </c>
    </row>
    <row r="426" spans="1:8" x14ac:dyDescent="0.35">
      <c r="A426">
        <v>3</v>
      </c>
      <c r="B426" s="1">
        <v>40216</v>
      </c>
      <c r="C426">
        <v>381151.72</v>
      </c>
      <c r="D426">
        <v>0</v>
      </c>
      <c r="E426">
        <v>82.2</v>
      </c>
      <c r="F426">
        <v>2.669</v>
      </c>
      <c r="G426">
        <v>214.54632219999999</v>
      </c>
      <c r="H426">
        <v>7.3460000000000001</v>
      </c>
    </row>
    <row r="427" spans="1:8" x14ac:dyDescent="0.35">
      <c r="A427">
        <v>3</v>
      </c>
      <c r="B427" s="1">
        <v>40428</v>
      </c>
      <c r="C427">
        <v>349214.18</v>
      </c>
      <c r="D427">
        <v>0</v>
      </c>
      <c r="E427">
        <v>81.75</v>
      </c>
      <c r="F427">
        <v>2.6419999999999999</v>
      </c>
      <c r="G427">
        <v>214.4265704</v>
      </c>
      <c r="H427">
        <v>7.3460000000000001</v>
      </c>
    </row>
    <row r="428" spans="1:8" x14ac:dyDescent="0.35">
      <c r="A428">
        <v>3</v>
      </c>
      <c r="B428" t="s">
        <v>20</v>
      </c>
      <c r="C428">
        <v>352728.78</v>
      </c>
      <c r="D428">
        <v>0</v>
      </c>
      <c r="E428">
        <v>84.32</v>
      </c>
      <c r="F428">
        <v>2.6230000000000002</v>
      </c>
      <c r="G428">
        <v>214.41764760000001</v>
      </c>
      <c r="H428">
        <v>7.3460000000000001</v>
      </c>
    </row>
    <row r="429" spans="1:8" x14ac:dyDescent="0.35">
      <c r="A429">
        <v>3</v>
      </c>
      <c r="B429" t="s">
        <v>21</v>
      </c>
      <c r="C429">
        <v>352864.49</v>
      </c>
      <c r="D429">
        <v>0</v>
      </c>
      <c r="E429">
        <v>83.32</v>
      </c>
      <c r="F429">
        <v>2.6080000000000001</v>
      </c>
      <c r="G429">
        <v>214.55649679999999</v>
      </c>
      <c r="H429">
        <v>7.3460000000000001</v>
      </c>
    </row>
    <row r="430" spans="1:8" x14ac:dyDescent="0.35">
      <c r="A430">
        <v>3</v>
      </c>
      <c r="B430" t="s">
        <v>22</v>
      </c>
      <c r="C430">
        <v>347955.05</v>
      </c>
      <c r="D430">
        <v>0</v>
      </c>
      <c r="E430">
        <v>82.04</v>
      </c>
      <c r="F430">
        <v>2.64</v>
      </c>
      <c r="G430">
        <v>214.695346</v>
      </c>
      <c r="H430">
        <v>7.3460000000000001</v>
      </c>
    </row>
    <row r="431" spans="1:8" x14ac:dyDescent="0.35">
      <c r="A431">
        <v>3</v>
      </c>
      <c r="B431" s="1">
        <v>40337</v>
      </c>
      <c r="C431">
        <v>402635.76</v>
      </c>
      <c r="D431">
        <v>0</v>
      </c>
      <c r="E431">
        <v>85.13</v>
      </c>
      <c r="F431">
        <v>2.6269999999999998</v>
      </c>
      <c r="G431">
        <v>214.83419520000001</v>
      </c>
      <c r="H431">
        <v>7.3460000000000001</v>
      </c>
    </row>
    <row r="432" spans="1:8" x14ac:dyDescent="0.35">
      <c r="A432">
        <v>3</v>
      </c>
      <c r="B432" t="s">
        <v>23</v>
      </c>
      <c r="C432">
        <v>339597.38</v>
      </c>
      <c r="D432">
        <v>0</v>
      </c>
      <c r="E432">
        <v>86.74</v>
      </c>
      <c r="F432">
        <v>2.6920000000000002</v>
      </c>
      <c r="G432">
        <v>214.97304439999999</v>
      </c>
      <c r="H432">
        <v>7.3460000000000001</v>
      </c>
    </row>
    <row r="433" spans="1:8" x14ac:dyDescent="0.35">
      <c r="A433">
        <v>3</v>
      </c>
      <c r="B433" t="s">
        <v>24</v>
      </c>
      <c r="C433">
        <v>351728.21</v>
      </c>
      <c r="D433">
        <v>0</v>
      </c>
      <c r="E433">
        <v>88.02</v>
      </c>
      <c r="F433">
        <v>2.6640000000000001</v>
      </c>
      <c r="G433">
        <v>214.9314191</v>
      </c>
      <c r="H433">
        <v>7.3460000000000001</v>
      </c>
    </row>
    <row r="434" spans="1:8" x14ac:dyDescent="0.35">
      <c r="A434">
        <v>3</v>
      </c>
      <c r="B434" t="s">
        <v>25</v>
      </c>
      <c r="C434">
        <v>362134.09</v>
      </c>
      <c r="D434">
        <v>0</v>
      </c>
      <c r="E434">
        <v>86.15</v>
      </c>
      <c r="F434">
        <v>2.6190000000000002</v>
      </c>
      <c r="G434">
        <v>214.88979380000001</v>
      </c>
      <c r="H434">
        <v>7.3460000000000001</v>
      </c>
    </row>
    <row r="435" spans="1:8" x14ac:dyDescent="0.35">
      <c r="B435" s="1"/>
    </row>
  </sheetData>
  <phoneticPr fontId="1" type="noConversion"/>
  <conditionalFormatting sqref="A1">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6A8328-763B-481C-BA7A-5B898B1E7B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Project Overview</vt:lpstr>
      <vt:lpstr>Dashboard</vt:lpstr>
      <vt:lpstr>Data_Cleaning</vt:lpstr>
      <vt:lpstr>Pivot_Analysis</vt:lpstr>
      <vt:lpstr>Raw Sales Data</vt:lpstr>
      <vt:lpstr>'Raw Sales Data'!Extract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Touheed Hussain</dc:creator>
  <cp:lastModifiedBy>Touheed Hussain</cp:lastModifiedBy>
  <cp:lastPrinted>2026-05-24T18:18:33Z</cp:lastPrinted>
  <dcterms:created xsi:type="dcterms:W3CDTF">2015-06-05T18:17:20Z</dcterms:created>
  <dcterms:modified xsi:type="dcterms:W3CDTF">2026-05-24T18:35:36Z</dcterms:modified>
</cp:coreProperties>
</file>