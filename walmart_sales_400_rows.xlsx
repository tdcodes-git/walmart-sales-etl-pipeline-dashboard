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ouheed.hussain\Desktop\Excel Project\"/>
    </mc:Choice>
  </mc:AlternateContent>
  <xr:revisionPtr revIDLastSave="0" documentId="13_ncr:1_{13629DCA-BB12-4BFC-AD98-79847B60BDB3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Raw_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/>
  <c r="R7" i="1"/>
  <c r="U2" i="1"/>
  <c r="Q7" i="1"/>
  <c r="P7" i="1"/>
  <c r="O7" i="1"/>
  <c r="N7" i="1"/>
  <c r="L7" i="1"/>
  <c r="M7" i="1"/>
  <c r="T2" i="1"/>
  <c r="S2" i="1"/>
  <c r="R2" i="1"/>
  <c r="O2" i="1"/>
  <c r="N2" i="1"/>
  <c r="Q2" i="1"/>
  <c r="P2" i="1"/>
  <c r="M2" i="1"/>
  <c r="L2" i="1"/>
  <c r="K2" i="1"/>
  <c r="J2" i="1"/>
</calcChain>
</file>

<file path=xl/sharedStrings.xml><?xml version="1.0" encoding="utf-8"?>
<sst xmlns="http://schemas.openxmlformats.org/spreadsheetml/2006/main" count="602" uniqueCount="120">
  <si>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</si>
  <si>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</si>
  <si>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</si>
  <si>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</si>
  <si>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</si>
  <si>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</si>
  <si>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</si>
  <si>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</si>
  <si>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</si>
  <si>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</si>
  <si>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</si>
  <si>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</si>
  <si>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</si>
  <si>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</si>
  <si>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</si>
  <si>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</si>
  <si>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</si>
  <si>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</si>
  <si>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</si>
  <si>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</si>
  <si>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</si>
  <si>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</si>
  <si>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</si>
  <si>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</si>
  <si>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</si>
  <si>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</si>
  <si>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</si>
  <si>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</si>
  <si>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</si>
  <si>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</si>
  <si>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</si>
  <si>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</si>
  <si>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</si>
  <si>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</si>
  <si>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</si>
  <si>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</si>
  <si>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</si>
  <si>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</si>
  <si>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</si>
  <si>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</si>
  <si>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</si>
  <si>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</si>
  <si>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</si>
  <si>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</si>
  <si>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</si>
  <si>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</si>
  <si>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</si>
  <si>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</si>
  <si>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</si>
  <si>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</si>
  <si>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</si>
  <si>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</si>
  <si>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</si>
  <si>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</si>
  <si>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</si>
  <si>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</si>
  <si>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</si>
  <si>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</si>
  <si>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</si>
  <si>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</si>
  <si>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</si>
  <si>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</si>
  <si>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</si>
  <si>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</si>
  <si>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</si>
  <si>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</si>
  <si>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</si>
  <si>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</si>
  <si>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</si>
  <si>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</si>
  <si>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</si>
  <si>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</si>
  <si>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</si>
  <si>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</si>
  <si>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</si>
  <si>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</si>
  <si>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</si>
  <si>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</si>
  <si>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</si>
  <si>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</si>
  <si>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</si>
  <si>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</si>
  <si>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</si>
  <si>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</si>
  <si>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</si>
  <si>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</si>
  <si>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</si>
  <si>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</si>
  <si>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</si>
  <si>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</si>
  <si>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</si>
  <si>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</si>
  <si>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</si>
  <si>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</si>
  <si>
    <t xml:space="preserve"> </t>
  </si>
  <si>
    <t>Store1</t>
  </si>
  <si>
    <t>Store2</t>
  </si>
  <si>
    <t>Store3</t>
  </si>
  <si>
    <t>Yes</t>
  </si>
  <si>
    <t>No</t>
  </si>
  <si>
    <t>YES</t>
  </si>
  <si>
    <t>NO</t>
  </si>
  <si>
    <t>no</t>
  </si>
  <si>
    <t>yes</t>
  </si>
  <si>
    <t>YEs</t>
  </si>
  <si>
    <t>total</t>
  </si>
  <si>
    <t>5000 USD</t>
  </si>
  <si>
    <t>Thirty Thousand</t>
  </si>
  <si>
    <t>18000 USD</t>
  </si>
  <si>
    <t>HOT</t>
  </si>
  <si>
    <t>COLD</t>
  </si>
  <si>
    <t>Hot</t>
  </si>
  <si>
    <t>Cold</t>
  </si>
  <si>
    <t>Three</t>
  </si>
  <si>
    <t>Two</t>
  </si>
  <si>
    <t>cold</t>
  </si>
  <si>
    <t>Neg. Weekly Sales</t>
  </si>
  <si>
    <t>Neg. Temperature</t>
  </si>
  <si>
    <t>neg. fuel Price</t>
  </si>
  <si>
    <t>30000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</si>
</sst>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5"/>
  <sheetViews>
    <sheetView zoomScale="70" zoomScaleNormal="70" workbookViewId="0">
      <pane ySplit="1" topLeftCell="A380" activePane="bottomLeft" state="frozen"/>
      <selection pane="bottomLeft" sqref="A1:H434"/>
    </sheetView>
  </sheetViews>
  <sheetFormatPr defaultRowHeight="14.4" x14ac:dyDescent="0.3"/>
  <cols>
    <col min="2" max="2" width="14.33203125" customWidth="1"/>
    <col min="3" max="3" width="12.33203125" customWidth="1"/>
    <col min="23" max="23" width="18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95</v>
      </c>
      <c r="K1" t="s">
        <v>96</v>
      </c>
      <c r="L1" t="s">
        <v>97</v>
      </c>
      <c r="M1" t="s">
        <v>105</v>
      </c>
      <c r="N1" t="s">
        <v>98</v>
      </c>
      <c r="O1" t="s">
        <v>103</v>
      </c>
      <c r="P1" t="s">
        <v>100</v>
      </c>
      <c r="Q1" t="s">
        <v>101</v>
      </c>
      <c r="R1" t="s">
        <v>99</v>
      </c>
      <c r="S1" t="s">
        <v>102</v>
      </c>
      <c r="T1" t="s">
        <v>113</v>
      </c>
      <c r="U1" t="s">
        <v>114</v>
      </c>
    </row>
    <row r="2" spans="1:21" x14ac:dyDescent="0.3">
      <c r="A2">
        <v>1</v>
      </c>
      <c r="B2" s="1">
        <v>40300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J2">
        <f>COUNTBLANK(A2:H144)</f>
        <v>14</v>
      </c>
      <c r="K2">
        <f>COUNTBLANK(A145:H285)</f>
        <v>21</v>
      </c>
      <c r="L2">
        <f>COUNTBLANK(A286:H434)</f>
        <v>15</v>
      </c>
      <c r="M2">
        <f>COUNTBLANK(A2:H434)</f>
        <v>50</v>
      </c>
      <c r="N2">
        <f>COUNTIF(D2:D434,"Yes")</f>
        <v>6</v>
      </c>
      <c r="O2">
        <f>COUNTIF(D2:D434,"yes")</f>
        <v>6</v>
      </c>
      <c r="P2">
        <f>COUNTIF(D2:D434,"YES")</f>
        <v>6</v>
      </c>
      <c r="Q2">
        <f>COUNTIF(D2:D434,"NO")</f>
        <v>5</v>
      </c>
      <c r="R2">
        <f>COUNTIF(D2:D434,"No")</f>
        <v>5</v>
      </c>
      <c r="S2">
        <f>COUNTIF(D2:D434,"no")</f>
        <v>5</v>
      </c>
      <c r="T2">
        <f>COUNTIF(F2:F434,"Three")</f>
        <v>2</v>
      </c>
      <c r="U2">
        <f>COUNTIF(F2:F434,"Two")</f>
        <v>1</v>
      </c>
    </row>
    <row r="3" spans="1:21" x14ac:dyDescent="0.3">
      <c r="A3">
        <v>1</v>
      </c>
      <c r="B3" s="1">
        <v>40514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21" x14ac:dyDescent="0.3">
      <c r="A4">
        <v>1</v>
      </c>
      <c r="B4" t="s">
        <v>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21" x14ac:dyDescent="0.3">
      <c r="A5">
        <v>1</v>
      </c>
      <c r="B5" t="s">
        <v>9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21" x14ac:dyDescent="0.3">
      <c r="A6">
        <v>1</v>
      </c>
      <c r="B6" s="1">
        <v>40301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J6" t="s">
        <v>118</v>
      </c>
      <c r="L6" t="s">
        <v>106</v>
      </c>
      <c r="M6" t="s">
        <v>107</v>
      </c>
      <c r="N6" t="s">
        <v>111</v>
      </c>
      <c r="O6" t="s">
        <v>109</v>
      </c>
      <c r="P6" t="s">
        <v>110</v>
      </c>
      <c r="Q6" t="s">
        <v>115</v>
      </c>
      <c r="R6" t="s">
        <v>116</v>
      </c>
      <c r="T6" t="s">
        <v>117</v>
      </c>
    </row>
    <row r="7" spans="1:21" x14ac:dyDescent="0.3">
      <c r="A7">
        <v>1</v>
      </c>
      <c r="B7" s="1">
        <v>40515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J7" t="s">
        <v>94</v>
      </c>
      <c r="L7">
        <f>COUNTIF(C2:C434,"5000 USD")</f>
        <v>2</v>
      </c>
      <c r="M7">
        <f>COUNTIF(C2:C434,"Thirty Thousand")</f>
        <v>1</v>
      </c>
      <c r="N7">
        <f>COUNTIF(E2:E434,"Hot")</f>
        <v>3</v>
      </c>
      <c r="O7">
        <f>COUNTIF(E2:E434,"HOT")</f>
        <v>3</v>
      </c>
      <c r="P7">
        <f>COUNTIF(E2:E434,"COLD")</f>
        <v>2</v>
      </c>
      <c r="Q7">
        <f>COUNTIF(E2:E434,"cold")</f>
        <v>2</v>
      </c>
      <c r="R7">
        <f>COUNTIFS(C2:C434,"&lt;0")</f>
        <v>3</v>
      </c>
      <c r="T7">
        <f>COUNTIFS(E2:E434,"&lt;0")</f>
        <v>3</v>
      </c>
    </row>
    <row r="8" spans="1:21" x14ac:dyDescent="0.3">
      <c r="A8">
        <v>1</v>
      </c>
      <c r="B8" t="s">
        <v>10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21" x14ac:dyDescent="0.3">
      <c r="A9">
        <v>1</v>
      </c>
      <c r="B9" t="s">
        <v>11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21" x14ac:dyDescent="0.3">
      <c r="A10">
        <v>1</v>
      </c>
      <c r="B10" s="1">
        <v>40213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21" x14ac:dyDescent="0.3">
      <c r="A11">
        <v>1</v>
      </c>
      <c r="B11" s="1">
        <v>40425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21" x14ac:dyDescent="0.3">
      <c r="A12">
        <v>1</v>
      </c>
      <c r="B12" t="s">
        <v>12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21" x14ac:dyDescent="0.3">
      <c r="A13">
        <v>1</v>
      </c>
      <c r="B13" t="s">
        <v>13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21" x14ac:dyDescent="0.3">
      <c r="A14">
        <v>1</v>
      </c>
      <c r="B14" t="s">
        <v>14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21" x14ac:dyDescent="0.3">
      <c r="A15">
        <v>1</v>
      </c>
      <c r="B15" s="1">
        <v>40364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21" x14ac:dyDescent="0.3">
      <c r="A16">
        <v>1</v>
      </c>
      <c r="B16" t="s">
        <v>15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3">
      <c r="A17">
        <v>1</v>
      </c>
      <c r="B17" t="s">
        <v>16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3">
      <c r="A18">
        <v>1</v>
      </c>
      <c r="B18" t="s">
        <v>17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3">
      <c r="A19">
        <v>1</v>
      </c>
      <c r="B19" s="1">
        <v>40274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3">
      <c r="A20">
        <v>1</v>
      </c>
      <c r="B20" s="1">
        <v>40488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3">
      <c r="A21">
        <v>1</v>
      </c>
      <c r="B21" t="s">
        <v>18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3">
      <c r="A22">
        <v>1</v>
      </c>
      <c r="B22" t="s">
        <v>19</v>
      </c>
      <c r="C22">
        <v>1422711.6</v>
      </c>
      <c r="D22" t="s">
        <v>101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3">
      <c r="A23">
        <v>1</v>
      </c>
      <c r="B23" s="1">
        <v>40216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3">
      <c r="A24">
        <v>1</v>
      </c>
      <c r="B24" s="1">
        <v>40428</v>
      </c>
      <c r="C24">
        <v>1546074.18</v>
      </c>
      <c r="D24">
        <v>0</v>
      </c>
      <c r="F24">
        <v>2.6419999999999999</v>
      </c>
      <c r="G24">
        <v>211.10841400000001</v>
      </c>
      <c r="H24">
        <v>7.7869999999999999</v>
      </c>
    </row>
    <row r="25" spans="1:8" x14ac:dyDescent="0.3">
      <c r="A25">
        <v>1</v>
      </c>
      <c r="B25" t="s">
        <v>20</v>
      </c>
      <c r="C25">
        <v>1448938.92</v>
      </c>
      <c r="D25">
        <v>0</v>
      </c>
      <c r="E25">
        <v>83.15</v>
      </c>
      <c r="G25">
        <v>211.10038539999999</v>
      </c>
      <c r="H25">
        <v>7.7869999999999999</v>
      </c>
    </row>
    <row r="26" spans="1:8" x14ac:dyDescent="0.3">
      <c r="A26">
        <v>1</v>
      </c>
      <c r="B26" t="s">
        <v>21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3">
      <c r="A27">
        <v>1</v>
      </c>
      <c r="B27" t="s">
        <v>22</v>
      </c>
      <c r="C27">
        <v>1371986.6</v>
      </c>
      <c r="D27">
        <v>0</v>
      </c>
      <c r="F27">
        <v>2.64</v>
      </c>
      <c r="G27">
        <v>211.36990320000001</v>
      </c>
      <c r="H27">
        <v>7.7869999999999999</v>
      </c>
    </row>
    <row r="28" spans="1:8" x14ac:dyDescent="0.3">
      <c r="A28">
        <v>1</v>
      </c>
      <c r="B28" s="1">
        <v>40337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3">
      <c r="A29">
        <v>1</v>
      </c>
      <c r="B29" t="s">
        <v>23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3">
      <c r="A30">
        <v>1</v>
      </c>
      <c r="B30" t="s">
        <v>24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3">
      <c r="A31">
        <v>1</v>
      </c>
      <c r="B31" t="s">
        <v>25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3">
      <c r="A32">
        <v>1</v>
      </c>
      <c r="B32" s="1">
        <v>40246</v>
      </c>
      <c r="C32">
        <v>1540163.53</v>
      </c>
      <c r="D32">
        <v>0</v>
      </c>
      <c r="E32">
        <v>81.209999999999994</v>
      </c>
      <c r="G32">
        <v>211.53124790000001</v>
      </c>
      <c r="H32">
        <v>7.7869999999999999</v>
      </c>
    </row>
    <row r="33" spans="1:8" x14ac:dyDescent="0.3">
      <c r="A33">
        <v>1</v>
      </c>
      <c r="B33" s="1">
        <v>40460</v>
      </c>
      <c r="C33">
        <v>1507460.69</v>
      </c>
      <c r="D33" t="s">
        <v>103</v>
      </c>
      <c r="E33">
        <v>78.69</v>
      </c>
      <c r="F33">
        <v>2.5649999999999999</v>
      </c>
      <c r="H33">
        <v>7.7869999999999999</v>
      </c>
    </row>
    <row r="34" spans="1:8" x14ac:dyDescent="0.3">
      <c r="A34">
        <v>1</v>
      </c>
      <c r="B34" t="s">
        <v>26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</row>
    <row r="35" spans="1:8" x14ac:dyDescent="0.3">
      <c r="A35">
        <v>1</v>
      </c>
      <c r="B35" t="s">
        <v>27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3">
      <c r="A36">
        <v>1</v>
      </c>
      <c r="B36" s="1">
        <v>40188</v>
      </c>
      <c r="C36">
        <v>1453329.5</v>
      </c>
      <c r="D36">
        <v>0</v>
      </c>
      <c r="G36">
        <v>211.6719895</v>
      </c>
      <c r="H36">
        <v>7.8380000000000001</v>
      </c>
    </row>
    <row r="37" spans="1:8" x14ac:dyDescent="0.3">
      <c r="A37">
        <v>1</v>
      </c>
      <c r="B37" s="1">
        <v>40400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3">
      <c r="A38">
        <v>1</v>
      </c>
      <c r="B38" t="s">
        <v>28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3">
      <c r="A39">
        <v>1</v>
      </c>
      <c r="B39" t="s">
        <v>29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3">
      <c r="A40">
        <v>1</v>
      </c>
      <c r="B40" t="s">
        <v>30</v>
      </c>
      <c r="C40">
        <v>1384209.22</v>
      </c>
      <c r="D40">
        <v>0</v>
      </c>
      <c r="F40">
        <v>2.7160000000000002</v>
      </c>
      <c r="G40">
        <v>211.9088438</v>
      </c>
      <c r="H40">
        <v>7.8380000000000001</v>
      </c>
    </row>
    <row r="41" spans="1:8" x14ac:dyDescent="0.3">
      <c r="A41">
        <v>1</v>
      </c>
      <c r="B41" s="1">
        <v>40309</v>
      </c>
      <c r="C41">
        <v>1551659.28</v>
      </c>
      <c r="D41">
        <v>0</v>
      </c>
      <c r="E41">
        <v>58.74</v>
      </c>
      <c r="G41">
        <v>211.95639389999999</v>
      </c>
      <c r="H41">
        <v>7.8380000000000001</v>
      </c>
    </row>
    <row r="42" spans="1:8" x14ac:dyDescent="0.3">
      <c r="A42">
        <v>1</v>
      </c>
      <c r="B42" s="1">
        <v>40523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3">
      <c r="A43">
        <v>1</v>
      </c>
      <c r="B43" t="s">
        <v>31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3">
      <c r="A44">
        <v>1</v>
      </c>
      <c r="B44" t="s">
        <v>32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3">
      <c r="A45">
        <v>1</v>
      </c>
      <c r="B45" s="1">
        <v>40249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3">
      <c r="A46">
        <v>1</v>
      </c>
      <c r="B46" s="1">
        <v>40463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3">
      <c r="A47">
        <v>1</v>
      </c>
      <c r="B47" t="s">
        <v>33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3">
      <c r="A48">
        <v>1</v>
      </c>
      <c r="B48" t="s">
        <v>34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3">
      <c r="A49">
        <v>1</v>
      </c>
      <c r="B49" t="s">
        <v>35</v>
      </c>
      <c r="C49">
        <v>1367320.01</v>
      </c>
      <c r="D49" t="s">
        <v>98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3">
      <c r="A50">
        <v>1</v>
      </c>
      <c r="B50" s="1">
        <v>40725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3">
      <c r="A51">
        <v>1</v>
      </c>
      <c r="B51" t="s">
        <v>36</v>
      </c>
      <c r="C51">
        <v>1391013.96</v>
      </c>
      <c r="D51">
        <v>0</v>
      </c>
      <c r="F51">
        <v>2.9830000000000001</v>
      </c>
      <c r="G51">
        <v>211.45741090000001</v>
      </c>
      <c r="H51">
        <v>7.742</v>
      </c>
    </row>
    <row r="52" spans="1:8" x14ac:dyDescent="0.3">
      <c r="A52">
        <v>1</v>
      </c>
      <c r="B52" t="s">
        <v>37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3">
      <c r="A53">
        <v>1</v>
      </c>
      <c r="B53" t="s">
        <v>38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3">
      <c r="A54">
        <v>1</v>
      </c>
      <c r="B54" s="1">
        <v>40635</v>
      </c>
      <c r="C54">
        <v>1606629.58</v>
      </c>
      <c r="D54">
        <v>0</v>
      </c>
      <c r="E54">
        <v>42.27</v>
      </c>
      <c r="G54">
        <v>212.56688120000001</v>
      </c>
      <c r="H54">
        <v>7.742</v>
      </c>
    </row>
    <row r="55" spans="1:8" x14ac:dyDescent="0.3">
      <c r="A55">
        <v>1</v>
      </c>
      <c r="B55" s="1">
        <v>40849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3">
      <c r="A56">
        <v>1</v>
      </c>
      <c r="B56" t="s">
        <v>39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3">
      <c r="A57">
        <v>1</v>
      </c>
      <c r="B57" t="s">
        <v>40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3">
      <c r="A58">
        <v>1</v>
      </c>
      <c r="B58" s="1">
        <v>40636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3">
      <c r="A59">
        <v>1</v>
      </c>
      <c r="B59" s="1">
        <v>40850</v>
      </c>
      <c r="C59">
        <v>1553191.63</v>
      </c>
      <c r="D59">
        <v>0</v>
      </c>
      <c r="F59">
        <v>3.4590000000000001</v>
      </c>
      <c r="H59">
        <v>7.742</v>
      </c>
    </row>
    <row r="60" spans="1:8" x14ac:dyDescent="0.3">
      <c r="A60">
        <v>1</v>
      </c>
      <c r="B60" t="s">
        <v>41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3">
      <c r="A61">
        <v>1</v>
      </c>
      <c r="B61" t="s">
        <v>42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3">
      <c r="A62">
        <v>1</v>
      </c>
      <c r="B62" s="1">
        <v>40547</v>
      </c>
      <c r="C62">
        <v>-1495064.75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3">
      <c r="A63">
        <v>1</v>
      </c>
      <c r="B63" s="1">
        <v>40759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3">
      <c r="A64">
        <v>1</v>
      </c>
      <c r="B64" t="s">
        <v>43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3">
      <c r="A65">
        <v>1</v>
      </c>
      <c r="B65" t="s">
        <v>44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3">
      <c r="A66">
        <v>1</v>
      </c>
      <c r="B66" t="s">
        <v>45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3">
      <c r="A67">
        <v>1</v>
      </c>
      <c r="B67" s="1">
        <v>40699</v>
      </c>
      <c r="C67">
        <v>1629391.28</v>
      </c>
      <c r="D67" t="s">
        <v>101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3">
      <c r="A68">
        <v>1</v>
      </c>
      <c r="B68" t="s">
        <v>46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3">
      <c r="A69">
        <v>1</v>
      </c>
      <c r="B69" t="s">
        <v>47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3">
      <c r="A70">
        <v>1</v>
      </c>
      <c r="B70" t="s">
        <v>48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3">
      <c r="A71">
        <v>1</v>
      </c>
      <c r="B71" s="1">
        <v>40608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3">
      <c r="A72">
        <v>1</v>
      </c>
      <c r="B72" s="1">
        <v>40822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3">
      <c r="A73">
        <v>1</v>
      </c>
      <c r="B73" t="s">
        <v>49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3">
      <c r="A74">
        <v>1</v>
      </c>
      <c r="B74" t="s">
        <v>50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3">
      <c r="A75">
        <v>1</v>
      </c>
      <c r="B75" s="1">
        <v>40550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3">
      <c r="A76">
        <v>1</v>
      </c>
      <c r="B76" s="1">
        <v>40762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3">
      <c r="A77">
        <v>1</v>
      </c>
      <c r="B77" t="s">
        <v>51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3">
      <c r="A78">
        <v>1</v>
      </c>
      <c r="B78" t="s">
        <v>52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3">
      <c r="A79">
        <v>1</v>
      </c>
      <c r="B79" t="s">
        <v>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3">
      <c r="A80">
        <v>1</v>
      </c>
      <c r="B80" s="1">
        <v>40671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3">
      <c r="A81">
        <v>1</v>
      </c>
      <c r="B81" s="1">
        <v>40885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3">
      <c r="A82">
        <v>1</v>
      </c>
      <c r="B82" t="s">
        <v>54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3">
      <c r="A83">
        <v>1</v>
      </c>
      <c r="B83" t="s">
        <v>55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3">
      <c r="A84">
        <v>1</v>
      </c>
      <c r="B84" s="1">
        <v>40583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3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3">
      <c r="A86">
        <v>1</v>
      </c>
      <c r="B86" t="s">
        <v>56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3">
      <c r="A87">
        <v>1</v>
      </c>
      <c r="B87" t="s">
        <v>57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3">
      <c r="A88">
        <v>1</v>
      </c>
      <c r="B88" t="s">
        <v>58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3">
      <c r="A89">
        <v>1</v>
      </c>
      <c r="B89" s="1">
        <v>40734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3">
      <c r="A90">
        <v>1</v>
      </c>
      <c r="B90" t="s">
        <v>59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3">
      <c r="A91">
        <v>1</v>
      </c>
      <c r="B91" t="s">
        <v>60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3">
      <c r="A92">
        <v>1</v>
      </c>
      <c r="B92" t="s">
        <v>61</v>
      </c>
      <c r="C92">
        <v>-1445249.09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3">
      <c r="A93">
        <v>1</v>
      </c>
      <c r="B93" s="1">
        <v>40644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3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3">
      <c r="A95">
        <v>1</v>
      </c>
      <c r="B95" t="s">
        <v>62</v>
      </c>
      <c r="C95">
        <v>-1539483.7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3">
      <c r="A96">
        <v>1</v>
      </c>
      <c r="B96" t="s">
        <v>63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3">
      <c r="A97">
        <v>1</v>
      </c>
      <c r="B97" s="1">
        <v>40586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3">
      <c r="A98">
        <v>1</v>
      </c>
      <c r="B98" s="1">
        <v>40798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3">
      <c r="A99">
        <v>1</v>
      </c>
      <c r="B99" t="s">
        <v>64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3">
      <c r="A100">
        <v>1</v>
      </c>
      <c r="B100" t="s">
        <v>65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3">
      <c r="A101">
        <v>1</v>
      </c>
      <c r="B101" t="s">
        <v>66</v>
      </c>
      <c r="C101">
        <v>1497462.72</v>
      </c>
      <c r="D101">
        <v>0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3">
      <c r="A102">
        <v>1</v>
      </c>
      <c r="B102" s="1">
        <v>41061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3">
      <c r="A103">
        <v>1</v>
      </c>
      <c r="B103" t="s">
        <v>67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3">
      <c r="A104">
        <v>1</v>
      </c>
      <c r="B104" t="s">
        <v>68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3">
      <c r="A105">
        <v>1</v>
      </c>
      <c r="B105" t="s">
        <v>69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3">
      <c r="A106">
        <v>1</v>
      </c>
      <c r="B106" s="1">
        <v>40970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3">
      <c r="A107">
        <v>1</v>
      </c>
      <c r="B107" s="1">
        <v>41184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3">
      <c r="A108">
        <v>1</v>
      </c>
      <c r="B108" t="s">
        <v>70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3">
      <c r="A109">
        <v>1</v>
      </c>
      <c r="B109" t="s">
        <v>71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3">
      <c r="A110">
        <v>1</v>
      </c>
      <c r="B110" s="1">
        <v>40942</v>
      </c>
      <c r="C110">
        <v>1688420.76</v>
      </c>
      <c r="D110">
        <v>0</v>
      </c>
      <c r="E110">
        <v>-60.96</v>
      </c>
      <c r="F110">
        <v>3.63</v>
      </c>
      <c r="G110">
        <v>220.84804539999999</v>
      </c>
      <c r="H110">
        <v>7.3479999999999999</v>
      </c>
    </row>
    <row r="111" spans="1:8" x14ac:dyDescent="0.3">
      <c r="A111">
        <v>1</v>
      </c>
      <c r="B111" s="1">
        <v>41155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3">
      <c r="A112">
        <v>1</v>
      </c>
      <c r="B112" t="s">
        <v>72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3">
      <c r="A113">
        <v>1</v>
      </c>
      <c r="B113" t="s">
        <v>73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3">
      <c r="A114">
        <v>1</v>
      </c>
      <c r="B114" t="s">
        <v>74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3">
      <c r="A115">
        <v>1</v>
      </c>
      <c r="B115" s="1">
        <v>41064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3">
      <c r="A116">
        <v>1</v>
      </c>
      <c r="B116" t="s">
        <v>75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3">
      <c r="A117">
        <v>1</v>
      </c>
      <c r="B117" t="s">
        <v>76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3">
      <c r="A118">
        <v>1</v>
      </c>
      <c r="B118" t="s">
        <v>77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3">
      <c r="A119">
        <v>1</v>
      </c>
      <c r="B119" s="1">
        <v>41004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3">
      <c r="A120">
        <v>1</v>
      </c>
      <c r="B120" s="1">
        <v>41218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3">
      <c r="A121">
        <v>1</v>
      </c>
      <c r="B121" t="s">
        <v>78</v>
      </c>
      <c r="C121">
        <v>1595901.87</v>
      </c>
      <c r="D121">
        <v>0</v>
      </c>
      <c r="E121">
        <v>70.33</v>
      </c>
      <c r="F121">
        <v>-3.63</v>
      </c>
      <c r="G121">
        <v>221.74267399999999</v>
      </c>
      <c r="H121">
        <v>7.1429999999999998</v>
      </c>
    </row>
    <row r="122" spans="1:8" x14ac:dyDescent="0.3">
      <c r="A122">
        <v>1</v>
      </c>
      <c r="B122" t="s">
        <v>79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3">
      <c r="A123">
        <v>1</v>
      </c>
      <c r="B123" s="1">
        <v>40914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3">
      <c r="A124">
        <v>1</v>
      </c>
      <c r="B124" s="1">
        <v>41127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3">
      <c r="A125">
        <v>1</v>
      </c>
      <c r="B125" t="s">
        <v>80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3">
      <c r="A126">
        <v>1</v>
      </c>
      <c r="B126" t="s">
        <v>81</v>
      </c>
      <c r="C126">
        <v>1527845.81</v>
      </c>
      <c r="D126" t="s">
        <v>102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3">
      <c r="A127">
        <v>1</v>
      </c>
      <c r="B127" t="s">
        <v>82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3">
      <c r="A128">
        <v>1</v>
      </c>
      <c r="B128" s="1">
        <v>41067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12" x14ac:dyDescent="0.3">
      <c r="A129">
        <v>1</v>
      </c>
      <c r="B129" t="s">
        <v>83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12" x14ac:dyDescent="0.3">
      <c r="A130">
        <v>1</v>
      </c>
      <c r="B130" t="s">
        <v>84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12" x14ac:dyDescent="0.3">
      <c r="A131">
        <v>1</v>
      </c>
      <c r="B131" t="s">
        <v>85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12" x14ac:dyDescent="0.3">
      <c r="A132">
        <v>1</v>
      </c>
      <c r="B132" s="1">
        <v>40976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L132" s="1"/>
    </row>
    <row r="133" spans="1:12" x14ac:dyDescent="0.3">
      <c r="A133">
        <v>1</v>
      </c>
      <c r="B133" s="1">
        <v>41190</v>
      </c>
      <c r="C133">
        <v>1592409.97</v>
      </c>
      <c r="D133" t="s">
        <v>99</v>
      </c>
      <c r="E133">
        <v>85.05</v>
      </c>
      <c r="F133">
        <v>3.4940000000000002</v>
      </c>
      <c r="G133">
        <v>221.95843289999999</v>
      </c>
      <c r="H133">
        <v>6.9080000000000004</v>
      </c>
      <c r="L133" s="1"/>
    </row>
    <row r="134" spans="1:12" x14ac:dyDescent="0.3">
      <c r="A134">
        <v>1</v>
      </c>
      <c r="B134" t="s">
        <v>86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12" x14ac:dyDescent="0.3">
      <c r="A135">
        <v>1</v>
      </c>
      <c r="B135" t="s">
        <v>87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12" x14ac:dyDescent="0.3">
      <c r="A136">
        <v>1</v>
      </c>
      <c r="B136" t="s">
        <v>88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12" x14ac:dyDescent="0.3">
      <c r="A137">
        <v>1</v>
      </c>
      <c r="B137" s="1">
        <v>41099</v>
      </c>
      <c r="C137">
        <v>1661767.33</v>
      </c>
      <c r="D137" t="s">
        <v>103</v>
      </c>
      <c r="E137">
        <v>83.96</v>
      </c>
      <c r="F137">
        <v>3.73</v>
      </c>
      <c r="G137">
        <v>222.43901529999999</v>
      </c>
      <c r="H137">
        <v>6.9080000000000004</v>
      </c>
      <c r="L137" s="1"/>
    </row>
    <row r="138" spans="1:12" x14ac:dyDescent="0.3">
      <c r="A138">
        <v>1</v>
      </c>
      <c r="B138" t="s">
        <v>89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12" x14ac:dyDescent="0.3">
      <c r="A139">
        <v>1</v>
      </c>
      <c r="B139" t="s">
        <v>90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12" x14ac:dyDescent="0.3">
      <c r="A140">
        <v>1</v>
      </c>
      <c r="B140" t="s">
        <v>91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12" x14ac:dyDescent="0.3">
      <c r="A141">
        <v>1</v>
      </c>
      <c r="B141" s="1">
        <v>41039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L141" s="1"/>
    </row>
    <row r="142" spans="1:12" x14ac:dyDescent="0.3">
      <c r="A142">
        <v>1</v>
      </c>
      <c r="B142" s="1">
        <v>41253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L142" s="1"/>
    </row>
    <row r="143" spans="1:12" x14ac:dyDescent="0.3">
      <c r="A143">
        <v>1</v>
      </c>
      <c r="B143" t="s">
        <v>92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12" x14ac:dyDescent="0.3">
      <c r="A144">
        <v>1</v>
      </c>
      <c r="B144" t="s">
        <v>93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12" x14ac:dyDescent="0.3">
      <c r="A145">
        <v>2</v>
      </c>
      <c r="B145" s="1">
        <v>40300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L145" s="1"/>
    </row>
    <row r="146" spans="1:12" x14ac:dyDescent="0.3">
      <c r="A146">
        <v>2</v>
      </c>
      <c r="B146" s="1">
        <v>40514</v>
      </c>
      <c r="C146">
        <v>2137809.5</v>
      </c>
      <c r="D146" t="s">
        <v>104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12" x14ac:dyDescent="0.3">
      <c r="A147">
        <v>2</v>
      </c>
      <c r="B147" t="s">
        <v>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12" x14ac:dyDescent="0.3">
      <c r="A148">
        <v>2</v>
      </c>
      <c r="B148" t="s">
        <v>9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12" x14ac:dyDescent="0.3">
      <c r="A149">
        <v>2</v>
      </c>
      <c r="B149" s="1">
        <v>40301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L149" s="1"/>
    </row>
    <row r="150" spans="1:12" x14ac:dyDescent="0.3">
      <c r="A150">
        <v>2</v>
      </c>
      <c r="B150" s="1">
        <v>40515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L150" s="1"/>
    </row>
    <row r="151" spans="1:12" x14ac:dyDescent="0.3">
      <c r="A151">
        <v>2</v>
      </c>
      <c r="B151" t="s">
        <v>10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12" x14ac:dyDescent="0.3">
      <c r="A152">
        <v>2</v>
      </c>
      <c r="B152" t="s">
        <v>11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12" x14ac:dyDescent="0.3">
      <c r="A153">
        <v>2</v>
      </c>
      <c r="B153" s="1">
        <v>40213</v>
      </c>
      <c r="C153" t="s">
        <v>106</v>
      </c>
      <c r="D153">
        <v>0</v>
      </c>
      <c r="F153">
        <v>2.7189999999999999</v>
      </c>
      <c r="G153">
        <v>210.4798874</v>
      </c>
      <c r="H153">
        <v>8.1999999999999993</v>
      </c>
      <c r="L153" s="1"/>
    </row>
    <row r="154" spans="1:12" x14ac:dyDescent="0.3">
      <c r="A154">
        <v>2</v>
      </c>
      <c r="B154" s="1">
        <v>40425</v>
      </c>
      <c r="C154">
        <v>1954689.21</v>
      </c>
      <c r="D154" t="s">
        <v>102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12" x14ac:dyDescent="0.3">
      <c r="A155">
        <v>2</v>
      </c>
      <c r="B155" t="s">
        <v>12</v>
      </c>
      <c r="C155">
        <v>1874957.94</v>
      </c>
      <c r="D155">
        <v>0</v>
      </c>
      <c r="E155">
        <v>68.069999999999993</v>
      </c>
      <c r="H155">
        <v>8.1999999999999993</v>
      </c>
    </row>
    <row r="156" spans="1:12" x14ac:dyDescent="0.3">
      <c r="A156">
        <v>2</v>
      </c>
      <c r="B156" t="s">
        <v>13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12" x14ac:dyDescent="0.3">
      <c r="A157">
        <v>2</v>
      </c>
      <c r="B157" t="s">
        <v>14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</row>
    <row r="158" spans="1:12" x14ac:dyDescent="0.3">
      <c r="A158">
        <v>2</v>
      </c>
      <c r="B158" s="1">
        <v>40364</v>
      </c>
      <c r="C158" t="s">
        <v>107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12" x14ac:dyDescent="0.3">
      <c r="A159">
        <v>2</v>
      </c>
      <c r="B159" t="s">
        <v>15</v>
      </c>
      <c r="C159">
        <v>1880752.36</v>
      </c>
      <c r="D159">
        <v>0</v>
      </c>
      <c r="E159">
        <v>73.31</v>
      </c>
      <c r="F159">
        <v>2.8540000000000001</v>
      </c>
      <c r="H159">
        <v>8.1999999999999993</v>
      </c>
    </row>
    <row r="160" spans="1:12" x14ac:dyDescent="0.3">
      <c r="A160">
        <v>2</v>
      </c>
      <c r="B160" t="s">
        <v>16</v>
      </c>
      <c r="C160">
        <v>1896937.1</v>
      </c>
      <c r="D160">
        <v>0</v>
      </c>
      <c r="E160">
        <v>-74.83</v>
      </c>
      <c r="G160">
        <v>210.27684429999999</v>
      </c>
      <c r="H160">
        <v>8.1999999999999993</v>
      </c>
    </row>
    <row r="161" spans="1:8" x14ac:dyDescent="0.3">
      <c r="A161">
        <v>2</v>
      </c>
      <c r="B161" t="s">
        <v>17</v>
      </c>
      <c r="C161">
        <v>1957113.89</v>
      </c>
      <c r="D161">
        <v>0</v>
      </c>
      <c r="F161">
        <v>2.7589999999999999</v>
      </c>
      <c r="G161">
        <v>210.55523009999999</v>
      </c>
      <c r="H161">
        <v>8.1999999999999993</v>
      </c>
    </row>
    <row r="162" spans="1:8" x14ac:dyDescent="0.3">
      <c r="A162">
        <v>2</v>
      </c>
      <c r="B162" s="1">
        <v>40274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3">
      <c r="A163">
        <v>2</v>
      </c>
      <c r="B163" s="1">
        <v>40488</v>
      </c>
      <c r="C163" t="s">
        <v>106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3">
      <c r="A164">
        <v>2</v>
      </c>
      <c r="B164" t="s">
        <v>18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3">
      <c r="A165">
        <v>2</v>
      </c>
      <c r="B165" t="s">
        <v>19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3">
      <c r="A166">
        <v>2</v>
      </c>
      <c r="B166" s="1">
        <v>40216</v>
      </c>
      <c r="C166">
        <v>2003940.64</v>
      </c>
      <c r="D166">
        <v>0</v>
      </c>
      <c r="E166">
        <v>82.74</v>
      </c>
      <c r="G166">
        <v>210.88037259999999</v>
      </c>
      <c r="H166">
        <v>8.0990000000000002</v>
      </c>
    </row>
    <row r="167" spans="1:8" x14ac:dyDescent="0.3">
      <c r="A167">
        <v>2</v>
      </c>
      <c r="B167" s="1">
        <v>40428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3">
      <c r="A168">
        <v>2</v>
      </c>
      <c r="B168" t="s">
        <v>20</v>
      </c>
      <c r="C168">
        <v>1845879.79</v>
      </c>
      <c r="D168">
        <v>0</v>
      </c>
      <c r="E168">
        <v>85.32</v>
      </c>
      <c r="F168">
        <v>2.6230000000000002</v>
      </c>
      <c r="H168">
        <v>8.0990000000000002</v>
      </c>
    </row>
    <row r="169" spans="1:8" x14ac:dyDescent="0.3">
      <c r="A169">
        <v>2</v>
      </c>
      <c r="B169" t="s">
        <v>21</v>
      </c>
      <c r="C169">
        <v>1781717.71</v>
      </c>
      <c r="D169">
        <v>0</v>
      </c>
      <c r="F169">
        <v>2.6080000000000001</v>
      </c>
      <c r="G169">
        <v>210.89213190000001</v>
      </c>
      <c r="H169">
        <v>8.0990000000000002</v>
      </c>
    </row>
    <row r="170" spans="1:8" x14ac:dyDescent="0.3">
      <c r="A170">
        <v>2</v>
      </c>
      <c r="B170" t="s">
        <v>22</v>
      </c>
      <c r="C170" t="s">
        <v>108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3">
      <c r="A171">
        <v>2</v>
      </c>
      <c r="B171" s="1">
        <v>40337</v>
      </c>
      <c r="C171">
        <v>1991909.98</v>
      </c>
      <c r="D171">
        <v>0</v>
      </c>
      <c r="E171">
        <v>-89.53</v>
      </c>
      <c r="F171">
        <v>2.6269999999999998</v>
      </c>
      <c r="G171">
        <v>211.16080489999999</v>
      </c>
      <c r="H171">
        <v>8.0990000000000002</v>
      </c>
    </row>
    <row r="172" spans="1:8" x14ac:dyDescent="0.3">
      <c r="A172">
        <v>2</v>
      </c>
      <c r="B172" t="s">
        <v>23</v>
      </c>
      <c r="C172">
        <v>1895601.05</v>
      </c>
      <c r="D172">
        <v>0</v>
      </c>
      <c r="F172">
        <v>2.6920000000000002</v>
      </c>
      <c r="G172">
        <v>211.29514130000001</v>
      </c>
    </row>
    <row r="173" spans="1:8" x14ac:dyDescent="0.3">
      <c r="A173">
        <v>2</v>
      </c>
      <c r="B173" t="s">
        <v>24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3">
      <c r="A174">
        <v>2</v>
      </c>
      <c r="B174" t="s">
        <v>25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3">
      <c r="A175">
        <v>2</v>
      </c>
      <c r="B175" s="1">
        <v>40246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3">
      <c r="A176">
        <v>2</v>
      </c>
      <c r="B176" s="1">
        <v>40460</v>
      </c>
      <c r="C176">
        <v>1839128.83</v>
      </c>
      <c r="D176" t="s">
        <v>103</v>
      </c>
      <c r="F176">
        <v>2.5649999999999999</v>
      </c>
      <c r="H176">
        <v>8.0990000000000002</v>
      </c>
    </row>
    <row r="177" spans="1:8" x14ac:dyDescent="0.3">
      <c r="A177">
        <v>2</v>
      </c>
      <c r="B177" t="s">
        <v>26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3">
      <c r="A178">
        <v>2</v>
      </c>
      <c r="B178" t="s">
        <v>27</v>
      </c>
      <c r="C178">
        <v>1724557.22</v>
      </c>
      <c r="D178">
        <v>0</v>
      </c>
      <c r="F178">
        <v>2.6240000000000001</v>
      </c>
      <c r="H178">
        <v>8.0990000000000002</v>
      </c>
    </row>
    <row r="179" spans="1:8" x14ac:dyDescent="0.3">
      <c r="A179">
        <v>2</v>
      </c>
      <c r="B179" s="1">
        <v>40188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3">
      <c r="A180">
        <v>2</v>
      </c>
      <c r="B180" s="1">
        <v>40400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3">
      <c r="A181">
        <v>2</v>
      </c>
      <c r="B181" t="s">
        <v>28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3">
      <c r="A182">
        <v>2</v>
      </c>
      <c r="B182" t="s">
        <v>29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3">
      <c r="A183">
        <v>2</v>
      </c>
      <c r="B183" t="s">
        <v>30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3">
      <c r="A184">
        <v>2</v>
      </c>
      <c r="B184" s="1">
        <v>40309</v>
      </c>
      <c r="C184">
        <v>1939061.41</v>
      </c>
      <c r="D184">
        <v>0</v>
      </c>
      <c r="E184">
        <v>57.85</v>
      </c>
      <c r="G184">
        <v>211.61350530000001</v>
      </c>
      <c r="H184">
        <v>8.1630000000000003</v>
      </c>
    </row>
    <row r="185" spans="1:8" x14ac:dyDescent="0.3">
      <c r="A185">
        <v>2</v>
      </c>
      <c r="B185" s="1">
        <v>40523</v>
      </c>
      <c r="C185">
        <v>1916812.74</v>
      </c>
      <c r="D185">
        <v>0</v>
      </c>
      <c r="E185">
        <v>59.69</v>
      </c>
      <c r="F185">
        <v>-2.7280000000000002</v>
      </c>
      <c r="G185">
        <v>211.6608975</v>
      </c>
      <c r="H185">
        <v>8.1630000000000003</v>
      </c>
    </row>
    <row r="186" spans="1:8" x14ac:dyDescent="0.3">
      <c r="A186">
        <v>2</v>
      </c>
      <c r="B186" t="s">
        <v>31</v>
      </c>
      <c r="C186">
        <v>1956739.17</v>
      </c>
      <c r="D186">
        <v>0</v>
      </c>
      <c r="E186" t="s">
        <v>109</v>
      </c>
      <c r="F186">
        <v>2.7709999999999999</v>
      </c>
      <c r="G186">
        <v>211.54703040000001</v>
      </c>
      <c r="H186">
        <v>8.1630000000000003</v>
      </c>
    </row>
    <row r="187" spans="1:8" x14ac:dyDescent="0.3">
      <c r="A187">
        <v>2</v>
      </c>
      <c r="B187" t="s">
        <v>32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3">
      <c r="A188">
        <v>2</v>
      </c>
      <c r="B188" s="1">
        <v>40249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3">
      <c r="A189">
        <v>2</v>
      </c>
      <c r="B189" s="1">
        <v>40463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3">
      <c r="A190">
        <v>2</v>
      </c>
      <c r="B190" t="s">
        <v>33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3">
      <c r="A191">
        <v>2</v>
      </c>
      <c r="B191" t="s">
        <v>34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3">
      <c r="A192">
        <v>2</v>
      </c>
      <c r="B192" t="s">
        <v>35</v>
      </c>
      <c r="C192">
        <v>1750434.55</v>
      </c>
      <c r="D192">
        <v>1</v>
      </c>
      <c r="E192">
        <v>47.3</v>
      </c>
      <c r="H192">
        <v>8.1630000000000003</v>
      </c>
    </row>
    <row r="193" spans="1:8" x14ac:dyDescent="0.3">
      <c r="A193">
        <v>2</v>
      </c>
      <c r="B193" s="1">
        <v>40725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3">
      <c r="A194">
        <v>2</v>
      </c>
      <c r="B194" t="s">
        <v>36</v>
      </c>
      <c r="C194">
        <v>1744193.58</v>
      </c>
      <c r="D194">
        <v>0</v>
      </c>
      <c r="E194" t="s">
        <v>110</v>
      </c>
      <c r="F194">
        <v>2.9830000000000001</v>
      </c>
      <c r="G194">
        <v>211.11767130000001</v>
      </c>
      <c r="H194">
        <v>8.0280000000000005</v>
      </c>
    </row>
    <row r="195" spans="1:8" x14ac:dyDescent="0.3">
      <c r="A195">
        <v>2</v>
      </c>
      <c r="B195" t="s">
        <v>37</v>
      </c>
      <c r="C195">
        <v>1751384.9</v>
      </c>
      <c r="D195">
        <v>0</v>
      </c>
      <c r="E195">
        <v>41.4</v>
      </c>
      <c r="G195">
        <v>211.48646909999999</v>
      </c>
    </row>
    <row r="196" spans="1:8" x14ac:dyDescent="0.3">
      <c r="A196">
        <v>2</v>
      </c>
      <c r="B196" t="s">
        <v>38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3">
      <c r="A197">
        <v>2</v>
      </c>
      <c r="B197" s="1">
        <v>40635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3">
      <c r="A198">
        <v>2</v>
      </c>
      <c r="B198" s="1">
        <v>40849</v>
      </c>
      <c r="C198">
        <v>2168041.61</v>
      </c>
      <c r="D198" t="s">
        <v>100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3">
      <c r="A199">
        <v>2</v>
      </c>
      <c r="B199" t="s">
        <v>39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3">
      <c r="A200">
        <v>2</v>
      </c>
      <c r="B200" t="s">
        <v>40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3">
      <c r="A201">
        <v>2</v>
      </c>
      <c r="B201" s="1">
        <v>40636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3">
      <c r="A202">
        <v>2</v>
      </c>
      <c r="B202" s="1">
        <v>40850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3">
      <c r="A203">
        <v>2</v>
      </c>
      <c r="B203" t="s">
        <v>41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3">
      <c r="A204">
        <v>2</v>
      </c>
      <c r="B204" t="s">
        <v>42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3">
      <c r="A205">
        <v>2</v>
      </c>
      <c r="B205" s="1">
        <v>40547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3">
      <c r="A206">
        <v>2</v>
      </c>
      <c r="B206" s="1">
        <v>40759</v>
      </c>
      <c r="C206">
        <v>1847552.61</v>
      </c>
      <c r="D206">
        <v>0</v>
      </c>
      <c r="E206" t="s">
        <v>111</v>
      </c>
      <c r="F206">
        <v>3.6219999999999999</v>
      </c>
      <c r="G206">
        <v>214.72522420000001</v>
      </c>
      <c r="H206">
        <v>7.931</v>
      </c>
    </row>
    <row r="207" spans="1:8" x14ac:dyDescent="0.3">
      <c r="A207">
        <v>2</v>
      </c>
      <c r="B207" t="s">
        <v>43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3">
      <c r="A208">
        <v>2</v>
      </c>
      <c r="B208" t="s">
        <v>44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3">
      <c r="A209">
        <v>2</v>
      </c>
      <c r="B209" t="s">
        <v>45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3">
      <c r="A210">
        <v>2</v>
      </c>
      <c r="B210" s="1">
        <v>40699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3">
      <c r="A211">
        <v>2</v>
      </c>
      <c r="B211" t="s">
        <v>46</v>
      </c>
      <c r="C211">
        <v>1838513.07</v>
      </c>
      <c r="D211">
        <v>0</v>
      </c>
      <c r="E211" t="s">
        <v>111</v>
      </c>
      <c r="F211">
        <v>3.899</v>
      </c>
      <c r="G211">
        <v>215.61247349999999</v>
      </c>
      <c r="H211">
        <v>7.931</v>
      </c>
    </row>
    <row r="212" spans="1:8" x14ac:dyDescent="0.3">
      <c r="A212">
        <v>2</v>
      </c>
      <c r="B212" t="s">
        <v>47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3">
      <c r="A213">
        <v>2</v>
      </c>
      <c r="B213" t="s">
        <v>48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3">
      <c r="A214">
        <v>2</v>
      </c>
      <c r="B214" s="1">
        <v>40608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3">
      <c r="A215">
        <v>2</v>
      </c>
      <c r="B215" s="1">
        <v>40822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3">
      <c r="A216">
        <v>2</v>
      </c>
      <c r="B216" t="s">
        <v>49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3">
      <c r="A217">
        <v>2</v>
      </c>
      <c r="B217" t="s">
        <v>50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3">
      <c r="A218">
        <v>2</v>
      </c>
      <c r="B218" s="1">
        <v>40550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3">
      <c r="A219">
        <v>2</v>
      </c>
      <c r="B219" s="1">
        <v>40762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3">
      <c r="A220">
        <v>2</v>
      </c>
      <c r="B220" t="s">
        <v>51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3">
      <c r="A221">
        <v>2</v>
      </c>
      <c r="B221" t="s">
        <v>52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3">
      <c r="A222">
        <v>2</v>
      </c>
      <c r="B222" t="s">
        <v>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3">
      <c r="A223">
        <v>2</v>
      </c>
      <c r="B223" s="1">
        <v>40671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3">
      <c r="A224">
        <v>2</v>
      </c>
      <c r="B224" s="1">
        <v>40885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3">
      <c r="A225">
        <v>2</v>
      </c>
      <c r="B225" t="s">
        <v>54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3">
      <c r="A226">
        <v>2</v>
      </c>
      <c r="B226" t="s">
        <v>55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3">
      <c r="A227">
        <v>2</v>
      </c>
      <c r="B227" s="1">
        <v>40583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3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3">
      <c r="A229">
        <v>2</v>
      </c>
      <c r="B229" t="s">
        <v>56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3">
      <c r="A230">
        <v>2</v>
      </c>
      <c r="B230" t="s">
        <v>57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3">
      <c r="A231">
        <v>2</v>
      </c>
      <c r="B231" t="s">
        <v>58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3">
      <c r="A232">
        <v>2</v>
      </c>
      <c r="B232" s="1">
        <v>40734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3">
      <c r="A233">
        <v>2</v>
      </c>
      <c r="B233" t="s">
        <v>59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3">
      <c r="A234">
        <v>2</v>
      </c>
      <c r="B234" t="s">
        <v>60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3">
      <c r="A235">
        <v>2</v>
      </c>
      <c r="B235" t="s">
        <v>61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3">
      <c r="A236">
        <v>2</v>
      </c>
      <c r="B236" s="1">
        <v>40644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3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3">
      <c r="A238">
        <v>2</v>
      </c>
      <c r="B238" t="s">
        <v>62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3">
      <c r="A239">
        <v>2</v>
      </c>
      <c r="B239" t="s">
        <v>63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3">
      <c r="A240">
        <v>2</v>
      </c>
      <c r="B240" s="1">
        <v>40586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3">
      <c r="A241">
        <v>2</v>
      </c>
      <c r="B241" s="1">
        <v>40798</v>
      </c>
      <c r="C241">
        <v>2290549.3199999998</v>
      </c>
      <c r="D241">
        <v>0</v>
      </c>
      <c r="E241" t="s">
        <v>112</v>
      </c>
      <c r="F241">
        <v>3.1579999999999999</v>
      </c>
      <c r="G241">
        <v>218.60503700000001</v>
      </c>
      <c r="H241">
        <v>7.4409999999999998</v>
      </c>
    </row>
    <row r="242" spans="1:8" x14ac:dyDescent="0.3">
      <c r="A242">
        <v>2</v>
      </c>
      <c r="B242" t="s">
        <v>64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3">
      <c r="A243">
        <v>2</v>
      </c>
      <c r="B243" t="s">
        <v>65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3">
      <c r="A244">
        <v>2</v>
      </c>
      <c r="B244" t="s">
        <v>66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3">
      <c r="A245">
        <v>2</v>
      </c>
      <c r="B245" s="1">
        <v>41061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3">
      <c r="A246">
        <v>2</v>
      </c>
      <c r="B246" t="s">
        <v>67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3">
      <c r="A247">
        <v>2</v>
      </c>
      <c r="B247" t="s">
        <v>68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3">
      <c r="A248">
        <v>2</v>
      </c>
      <c r="B248" t="s">
        <v>69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3">
      <c r="A249">
        <v>2</v>
      </c>
      <c r="B249" s="1">
        <v>40970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3">
      <c r="A250">
        <v>2</v>
      </c>
      <c r="B250" s="1">
        <v>41184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3">
      <c r="A251">
        <v>2</v>
      </c>
      <c r="B251" t="s">
        <v>70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3">
      <c r="A252">
        <v>2</v>
      </c>
      <c r="B252" t="s">
        <v>71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3">
      <c r="A253">
        <v>2</v>
      </c>
      <c r="B253" s="1">
        <v>40942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3">
      <c r="A254">
        <v>2</v>
      </c>
      <c r="B254" s="1">
        <v>41155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3">
      <c r="A255">
        <v>2</v>
      </c>
      <c r="B255" t="s">
        <v>72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3">
      <c r="A256">
        <v>2</v>
      </c>
      <c r="B256" t="s">
        <v>73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3">
      <c r="A257">
        <v>2</v>
      </c>
      <c r="B257" t="s">
        <v>74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3">
      <c r="A258">
        <v>2</v>
      </c>
      <c r="B258" s="1">
        <v>41064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3">
      <c r="A259">
        <v>2</v>
      </c>
      <c r="B259" t="s">
        <v>75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3">
      <c r="A260">
        <v>2</v>
      </c>
      <c r="B260" t="s">
        <v>76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3">
      <c r="A261">
        <v>2</v>
      </c>
      <c r="B261" t="s">
        <v>77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3">
      <c r="A262">
        <v>2</v>
      </c>
      <c r="B262" s="1">
        <v>41004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3">
      <c r="A263">
        <v>2</v>
      </c>
      <c r="B263" s="1">
        <v>41218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3">
      <c r="A264">
        <v>2</v>
      </c>
      <c r="B264" t="s">
        <v>78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3">
      <c r="A265">
        <v>2</v>
      </c>
      <c r="B265" t="s">
        <v>79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3">
      <c r="A266">
        <v>2</v>
      </c>
      <c r="B266" s="1">
        <v>40914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3">
      <c r="A267">
        <v>2</v>
      </c>
      <c r="B267" s="1">
        <v>41127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3">
      <c r="A268">
        <v>2</v>
      </c>
      <c r="B268" t="s">
        <v>80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3">
      <c r="A269">
        <v>2</v>
      </c>
      <c r="B269" t="s">
        <v>81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3">
      <c r="A270">
        <v>2</v>
      </c>
      <c r="B270" t="s">
        <v>82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3">
      <c r="A271">
        <v>2</v>
      </c>
      <c r="B271" s="1">
        <v>41067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3">
      <c r="A272">
        <v>2</v>
      </c>
      <c r="B272" t="s">
        <v>83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3">
      <c r="A273">
        <v>2</v>
      </c>
      <c r="B273" t="s">
        <v>84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3">
      <c r="A274">
        <v>2</v>
      </c>
      <c r="B274" t="s">
        <v>85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3">
      <c r="A275">
        <v>2</v>
      </c>
      <c r="B275" s="1">
        <v>40976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3">
      <c r="A276">
        <v>2</v>
      </c>
      <c r="B276" s="1">
        <v>41190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3">
      <c r="A277">
        <v>2</v>
      </c>
      <c r="B277" t="s">
        <v>86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3">
      <c r="A278">
        <v>2</v>
      </c>
      <c r="B278" t="s">
        <v>87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3">
      <c r="A279">
        <v>2</v>
      </c>
      <c r="B279" t="s">
        <v>88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3">
      <c r="A280">
        <v>2</v>
      </c>
      <c r="B280" s="1">
        <v>41099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3">
      <c r="A281">
        <v>2</v>
      </c>
      <c r="B281" t="s">
        <v>89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3">
      <c r="A282">
        <v>2</v>
      </c>
      <c r="B282" t="s">
        <v>90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3">
      <c r="A283">
        <v>2</v>
      </c>
      <c r="B283" t="s">
        <v>91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3">
      <c r="A284">
        <v>2</v>
      </c>
      <c r="B284" s="1">
        <v>41039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3">
      <c r="A285">
        <v>2</v>
      </c>
      <c r="B285" s="1">
        <v>41253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3">
      <c r="A286">
        <v>2</v>
      </c>
      <c r="B286" t="s">
        <v>92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3">
      <c r="A287">
        <v>2</v>
      </c>
      <c r="B287" t="s">
        <v>93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3">
      <c r="A288">
        <v>3</v>
      </c>
      <c r="B288" s="1">
        <v>40300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3">
      <c r="A289">
        <v>3</v>
      </c>
      <c r="B289" s="1">
        <v>40514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3">
      <c r="A290">
        <v>3</v>
      </c>
      <c r="B290" t="s">
        <v>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3">
      <c r="A291">
        <v>3</v>
      </c>
      <c r="B291" t="s">
        <v>9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3">
      <c r="A292">
        <v>3</v>
      </c>
      <c r="B292" s="1">
        <v>40301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3">
      <c r="A293">
        <v>3</v>
      </c>
      <c r="B293" s="1">
        <v>40515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3">
      <c r="A294">
        <v>3</v>
      </c>
      <c r="B294" t="s">
        <v>10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3">
      <c r="A295">
        <v>3</v>
      </c>
      <c r="B295" t="s">
        <v>11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3">
      <c r="A296">
        <v>3</v>
      </c>
      <c r="B296" s="1">
        <v>40213</v>
      </c>
      <c r="C296">
        <v>423294.4</v>
      </c>
      <c r="D296">
        <v>0</v>
      </c>
      <c r="E296">
        <v>65.56</v>
      </c>
      <c r="F296" t="s">
        <v>114</v>
      </c>
      <c r="G296">
        <v>214.1180803</v>
      </c>
      <c r="H296">
        <v>7.343</v>
      </c>
    </row>
    <row r="297" spans="1:8" x14ac:dyDescent="0.3">
      <c r="A297">
        <v>3</v>
      </c>
      <c r="B297" s="1">
        <v>40425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3">
      <c r="A298">
        <v>3</v>
      </c>
      <c r="B298" t="s">
        <v>12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3">
      <c r="A299">
        <v>3</v>
      </c>
      <c r="B299" t="s">
        <v>13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3">
      <c r="A300">
        <v>3</v>
      </c>
      <c r="B300" t="s">
        <v>14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3">
      <c r="A301">
        <v>3</v>
      </c>
      <c r="B301" s="1">
        <v>40364</v>
      </c>
      <c r="C301">
        <v>399323.86</v>
      </c>
      <c r="D301">
        <v>0</v>
      </c>
      <c r="E301">
        <v>73.47</v>
      </c>
      <c r="F301">
        <v>3</v>
      </c>
      <c r="G301">
        <v>213.6211778</v>
      </c>
      <c r="H301">
        <v>7.343</v>
      </c>
    </row>
    <row r="302" spans="1:8" x14ac:dyDescent="0.3">
      <c r="A302">
        <v>3</v>
      </c>
      <c r="B302" t="s">
        <v>15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3">
      <c r="A303">
        <v>3</v>
      </c>
      <c r="B303" t="s">
        <v>16</v>
      </c>
      <c r="C303">
        <v>343763.17</v>
      </c>
      <c r="D303">
        <v>0</v>
      </c>
      <c r="F303">
        <v>2.8260000000000001</v>
      </c>
      <c r="G303">
        <v>213.91168859999999</v>
      </c>
      <c r="H303">
        <v>7.343</v>
      </c>
    </row>
    <row r="304" spans="1:8" x14ac:dyDescent="0.3">
      <c r="A304">
        <v>3</v>
      </c>
      <c r="B304" t="s">
        <v>17</v>
      </c>
      <c r="C304">
        <v>350089.23</v>
      </c>
      <c r="D304">
        <v>0</v>
      </c>
      <c r="E304">
        <v>78.599999999999994</v>
      </c>
      <c r="G304">
        <v>214.20376340000001</v>
      </c>
    </row>
    <row r="305" spans="1:8" x14ac:dyDescent="0.3">
      <c r="A305">
        <v>3</v>
      </c>
      <c r="B305" s="1">
        <v>40274</v>
      </c>
      <c r="C305">
        <v>396968.8</v>
      </c>
      <c r="D305">
        <v>0</v>
      </c>
      <c r="E305">
        <v>78.53</v>
      </c>
      <c r="F305" t="s">
        <v>113</v>
      </c>
      <c r="G305">
        <v>214.49583820000001</v>
      </c>
      <c r="H305">
        <v>7.343</v>
      </c>
    </row>
    <row r="306" spans="1:8" x14ac:dyDescent="0.3">
      <c r="A306">
        <v>3</v>
      </c>
      <c r="B306" s="1">
        <v>40488</v>
      </c>
      <c r="C306">
        <v>355017.09</v>
      </c>
      <c r="D306">
        <v>0</v>
      </c>
      <c r="E306">
        <v>82.1</v>
      </c>
      <c r="G306">
        <v>214.787913</v>
      </c>
      <c r="H306">
        <v>7.343</v>
      </c>
    </row>
    <row r="307" spans="1:8" x14ac:dyDescent="0.3">
      <c r="A307">
        <v>3</v>
      </c>
      <c r="B307" t="s">
        <v>18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3">
      <c r="A308">
        <v>3</v>
      </c>
      <c r="B308" t="s">
        <v>19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3">
      <c r="A309">
        <v>3</v>
      </c>
      <c r="B309" s="1">
        <v>40216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3">
      <c r="A310">
        <v>3</v>
      </c>
      <c r="B310" s="1">
        <v>40428</v>
      </c>
      <c r="C310">
        <v>349214.18</v>
      </c>
      <c r="D310">
        <v>0</v>
      </c>
      <c r="F310">
        <v>2.6419999999999999</v>
      </c>
      <c r="G310">
        <v>214.4265704</v>
      </c>
      <c r="H310">
        <v>7.3460000000000001</v>
      </c>
    </row>
    <row r="311" spans="1:8" x14ac:dyDescent="0.3">
      <c r="A311">
        <v>3</v>
      </c>
      <c r="B311" t="s">
        <v>20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3">
      <c r="A312">
        <v>3</v>
      </c>
      <c r="B312" t="s">
        <v>21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3">
      <c r="A313">
        <v>3</v>
      </c>
      <c r="B313" t="s">
        <v>22</v>
      </c>
      <c r="C313">
        <v>347955.05</v>
      </c>
      <c r="D313">
        <v>0</v>
      </c>
      <c r="F313">
        <v>2.64</v>
      </c>
      <c r="G313">
        <v>214.695346</v>
      </c>
      <c r="H313">
        <v>7.3460000000000001</v>
      </c>
    </row>
    <row r="314" spans="1:8" x14ac:dyDescent="0.3">
      <c r="A314">
        <v>3</v>
      </c>
      <c r="B314" s="1">
        <v>40337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3">
      <c r="A315">
        <v>3</v>
      </c>
      <c r="B315" t="s">
        <v>23</v>
      </c>
      <c r="C315">
        <v>339597.38</v>
      </c>
      <c r="D315">
        <v>0</v>
      </c>
      <c r="E315">
        <v>86.74</v>
      </c>
      <c r="F315">
        <v>2.6920000000000002</v>
      </c>
    </row>
    <row r="316" spans="1:8" x14ac:dyDescent="0.3">
      <c r="A316">
        <v>3</v>
      </c>
      <c r="B316" t="s">
        <v>24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3">
      <c r="A317">
        <v>3</v>
      </c>
      <c r="B317" t="s">
        <v>25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3">
      <c r="A318">
        <v>3</v>
      </c>
      <c r="B318" s="1">
        <v>40246</v>
      </c>
      <c r="C318">
        <v>366473.97</v>
      </c>
      <c r="D318">
        <v>0</v>
      </c>
      <c r="E318">
        <v>84.16</v>
      </c>
      <c r="F318">
        <v>-2.577</v>
      </c>
      <c r="G318">
        <v>214.84816850000001</v>
      </c>
    </row>
    <row r="319" spans="1:8" x14ac:dyDescent="0.3">
      <c r="A319">
        <v>3</v>
      </c>
      <c r="B319" s="1">
        <v>40460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3">
      <c r="A320">
        <v>3</v>
      </c>
      <c r="B320" t="s">
        <v>26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3">
      <c r="A321">
        <v>3</v>
      </c>
      <c r="B321" t="s">
        <v>27</v>
      </c>
      <c r="C321">
        <v>355626.87</v>
      </c>
      <c r="D321">
        <v>0</v>
      </c>
      <c r="E321">
        <v>76.900000000000006</v>
      </c>
      <c r="G321">
        <v>214.90845160000001</v>
      </c>
      <c r="H321">
        <v>7.3460000000000001</v>
      </c>
    </row>
    <row r="322" spans="1:8" x14ac:dyDescent="0.3">
      <c r="A322">
        <v>3</v>
      </c>
      <c r="B322" s="1">
        <v>40188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</row>
    <row r="323" spans="1:8" x14ac:dyDescent="0.3">
      <c r="A323">
        <v>3</v>
      </c>
      <c r="B323" s="1">
        <v>40400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3">
      <c r="A324">
        <v>3</v>
      </c>
      <c r="B324" t="s">
        <v>28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3">
      <c r="A325">
        <v>3</v>
      </c>
      <c r="B325" t="s">
        <v>29</v>
      </c>
      <c r="C325">
        <v>348895.98</v>
      </c>
      <c r="D325">
        <v>0</v>
      </c>
      <c r="E325">
        <v>71.64</v>
      </c>
      <c r="G325">
        <v>215.17839000000001</v>
      </c>
      <c r="H325">
        <v>7.5640000000000001</v>
      </c>
    </row>
    <row r="326" spans="1:8" x14ac:dyDescent="0.3">
      <c r="A326">
        <v>3</v>
      </c>
      <c r="B326" t="s">
        <v>30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</row>
    <row r="327" spans="1:8" x14ac:dyDescent="0.3">
      <c r="A327">
        <v>3</v>
      </c>
      <c r="B327" s="1">
        <v>40309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3">
      <c r="A328">
        <v>3</v>
      </c>
      <c r="B328" s="1">
        <v>40523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3">
      <c r="A329">
        <v>3</v>
      </c>
      <c r="B329" t="s">
        <v>31</v>
      </c>
      <c r="C329">
        <v>372545.32</v>
      </c>
      <c r="D329">
        <v>0</v>
      </c>
      <c r="E329">
        <v>57.72</v>
      </c>
      <c r="G329">
        <v>215.2074519</v>
      </c>
      <c r="H329">
        <v>7.5640000000000001</v>
      </c>
    </row>
    <row r="330" spans="1:8" x14ac:dyDescent="0.3">
      <c r="A330">
        <v>3</v>
      </c>
      <c r="B330" t="s">
        <v>32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3">
      <c r="A331">
        <v>3</v>
      </c>
      <c r="B331" s="1">
        <v>40249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</row>
    <row r="332" spans="1:8" x14ac:dyDescent="0.3">
      <c r="A332">
        <v>3</v>
      </c>
      <c r="B332" s="1">
        <v>40463</v>
      </c>
      <c r="C332">
        <v>467642.03</v>
      </c>
      <c r="D332">
        <v>0</v>
      </c>
      <c r="E332">
        <v>51.13</v>
      </c>
      <c r="F332">
        <v>-2.843</v>
      </c>
      <c r="G332">
        <v>214.76930369999999</v>
      </c>
      <c r="H332">
        <v>7.5640000000000001</v>
      </c>
    </row>
    <row r="333" spans="1:8" x14ac:dyDescent="0.3">
      <c r="A333">
        <v>3</v>
      </c>
      <c r="B333" t="s">
        <v>33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3">
      <c r="A334">
        <v>3</v>
      </c>
      <c r="B334" t="s">
        <v>34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3">
      <c r="A335">
        <v>3</v>
      </c>
      <c r="B335" t="s">
        <v>35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3">
      <c r="A336">
        <v>3</v>
      </c>
      <c r="B336" s="1">
        <v>40725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3">
      <c r="A337">
        <v>3</v>
      </c>
      <c r="B337" t="s">
        <v>36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3">
      <c r="A338">
        <v>3</v>
      </c>
      <c r="B338" t="s">
        <v>37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3">
      <c r="A339">
        <v>3</v>
      </c>
      <c r="B339" t="s">
        <v>38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3">
      <c r="A340">
        <v>3</v>
      </c>
      <c r="B340" s="1">
        <v>40635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3">
      <c r="A341">
        <v>3</v>
      </c>
      <c r="B341" s="1">
        <v>40849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3">
      <c r="A342">
        <v>3</v>
      </c>
      <c r="B342" t="s">
        <v>39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3">
      <c r="A343">
        <v>3</v>
      </c>
      <c r="B343" t="s">
        <v>40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3">
      <c r="A344">
        <v>3</v>
      </c>
      <c r="B344" s="1">
        <v>40636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3">
      <c r="A345">
        <v>3</v>
      </c>
      <c r="B345" s="1">
        <v>40850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3">
      <c r="A346">
        <v>3</v>
      </c>
      <c r="B346" t="s">
        <v>41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3">
      <c r="A347">
        <v>3</v>
      </c>
      <c r="B347" t="s">
        <v>42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3">
      <c r="A348">
        <v>3</v>
      </c>
      <c r="B348" s="1">
        <v>40547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3">
      <c r="A349">
        <v>3</v>
      </c>
      <c r="B349" s="1">
        <v>40759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3">
      <c r="A350">
        <v>3</v>
      </c>
      <c r="B350" t="s">
        <v>43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3">
      <c r="A351">
        <v>3</v>
      </c>
      <c r="B351" t="s">
        <v>44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3">
      <c r="A352">
        <v>3</v>
      </c>
      <c r="B352" t="s">
        <v>45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3">
      <c r="A353">
        <v>3</v>
      </c>
      <c r="B353" s="1">
        <v>40699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3">
      <c r="A354">
        <v>3</v>
      </c>
      <c r="B354" t="s">
        <v>46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3">
      <c r="A355">
        <v>3</v>
      </c>
      <c r="B355" t="s">
        <v>47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3">
      <c r="A356">
        <v>3</v>
      </c>
      <c r="B356" t="s">
        <v>48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3">
      <c r="A357">
        <v>3</v>
      </c>
      <c r="B357" s="1">
        <v>40608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3">
      <c r="A358">
        <v>3</v>
      </c>
      <c r="B358" s="1">
        <v>40822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3">
      <c r="A359">
        <v>3</v>
      </c>
      <c r="B359" t="s">
        <v>49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3">
      <c r="A360">
        <v>3</v>
      </c>
      <c r="B360" t="s">
        <v>50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3">
      <c r="A361">
        <v>3</v>
      </c>
      <c r="B361" s="1">
        <v>40550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3">
      <c r="A362">
        <v>3</v>
      </c>
      <c r="B362" s="1">
        <v>40762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3">
      <c r="A363">
        <v>3</v>
      </c>
      <c r="B363" t="s">
        <v>51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3">
      <c r="A364">
        <v>3</v>
      </c>
      <c r="B364" t="s">
        <v>52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3">
      <c r="A365">
        <v>3</v>
      </c>
      <c r="B365" t="s">
        <v>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3">
      <c r="A366">
        <v>3</v>
      </c>
      <c r="B366" s="1">
        <v>40671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3">
      <c r="A367">
        <v>3</v>
      </c>
      <c r="B367" s="1">
        <v>40885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3">
      <c r="A368">
        <v>3</v>
      </c>
      <c r="B368" t="s">
        <v>54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3">
      <c r="A369">
        <v>3</v>
      </c>
      <c r="B369" t="s">
        <v>55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3">
      <c r="A370">
        <v>3</v>
      </c>
      <c r="B370" s="1">
        <v>40583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3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3">
      <c r="A372">
        <v>3</v>
      </c>
      <c r="B372" t="s">
        <v>56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3">
      <c r="A373">
        <v>3</v>
      </c>
      <c r="B373" t="s">
        <v>57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3">
      <c r="A374">
        <v>3</v>
      </c>
      <c r="B374" t="s">
        <v>58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3">
      <c r="A375">
        <v>3</v>
      </c>
      <c r="B375" s="1">
        <v>40734</v>
      </c>
      <c r="C375">
        <v>403342.4</v>
      </c>
      <c r="D375">
        <v>0</v>
      </c>
      <c r="E375">
        <v>75.540000000000006</v>
      </c>
      <c r="F375">
        <v>-3.2850000000000001</v>
      </c>
      <c r="G375">
        <v>220.42990069999999</v>
      </c>
      <c r="H375">
        <v>7.1970000000000001</v>
      </c>
    </row>
    <row r="376" spans="1:8" x14ac:dyDescent="0.3">
      <c r="A376">
        <v>3</v>
      </c>
      <c r="B376" t="s">
        <v>59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3">
      <c r="A377">
        <v>3</v>
      </c>
      <c r="B377" t="s">
        <v>60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3">
      <c r="A378">
        <v>3</v>
      </c>
      <c r="B378" t="s">
        <v>61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3">
      <c r="A379">
        <v>3</v>
      </c>
      <c r="B379" s="1">
        <v>40644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3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3">
      <c r="A381">
        <v>3</v>
      </c>
      <c r="B381" t="s">
        <v>62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3">
      <c r="A382">
        <v>3</v>
      </c>
      <c r="B382" t="s">
        <v>63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3">
      <c r="A383">
        <v>3</v>
      </c>
      <c r="B383" s="1">
        <v>40586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3">
      <c r="A384">
        <v>3</v>
      </c>
      <c r="B384" s="1">
        <v>40798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3">
      <c r="A385">
        <v>3</v>
      </c>
      <c r="B385" t="s">
        <v>64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3">
      <c r="A386">
        <v>3</v>
      </c>
      <c r="B386" t="s">
        <v>65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3">
      <c r="A387">
        <v>3</v>
      </c>
      <c r="B387" t="s">
        <v>66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3">
      <c r="A388">
        <v>3</v>
      </c>
      <c r="B388" s="1">
        <v>41061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3">
      <c r="A389">
        <v>3</v>
      </c>
      <c r="B389" t="s">
        <v>67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3">
      <c r="A390">
        <v>3</v>
      </c>
      <c r="B390" t="s">
        <v>68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3">
      <c r="A391">
        <v>3</v>
      </c>
      <c r="B391" t="s">
        <v>69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3">
      <c r="A392">
        <v>3</v>
      </c>
      <c r="B392" s="1">
        <v>40970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3">
      <c r="A393">
        <v>3</v>
      </c>
      <c r="B393" s="1">
        <v>41184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3">
      <c r="A394">
        <v>3</v>
      </c>
      <c r="B394" t="s">
        <v>70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3">
      <c r="A395">
        <v>3</v>
      </c>
      <c r="B395" t="s">
        <v>71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3">
      <c r="A396">
        <v>3</v>
      </c>
      <c r="B396" s="1">
        <v>40942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3">
      <c r="A397">
        <v>3</v>
      </c>
      <c r="B397" s="1">
        <v>41155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3">
      <c r="A398">
        <v>3</v>
      </c>
      <c r="B398" t="s">
        <v>72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3">
      <c r="A399">
        <v>3</v>
      </c>
      <c r="B399" t="s">
        <v>73</v>
      </c>
      <c r="C399">
        <v>413907.25</v>
      </c>
      <c r="D399">
        <v>0</v>
      </c>
      <c r="E399">
        <v>66.53</v>
      </c>
      <c r="F399" t="s">
        <v>113</v>
      </c>
      <c r="G399">
        <v>224.7909104</v>
      </c>
      <c r="H399">
        <v>6.8330000000000002</v>
      </c>
    </row>
    <row r="400" spans="1:8" x14ac:dyDescent="0.3">
      <c r="A400">
        <v>3</v>
      </c>
      <c r="B400" t="s">
        <v>74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3">
      <c r="A401">
        <v>3</v>
      </c>
      <c r="B401" s="1">
        <v>41064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3">
      <c r="A402">
        <v>1</v>
      </c>
      <c r="B402" s="1">
        <v>40976</v>
      </c>
      <c r="C402">
        <v>1631135.79</v>
      </c>
      <c r="D402">
        <v>0</v>
      </c>
      <c r="E402">
        <v>86.11</v>
      </c>
      <c r="F402">
        <v>3.4169999999999998</v>
      </c>
      <c r="G402">
        <v>221.94986420000001</v>
      </c>
      <c r="H402">
        <v>6.9080000000000004</v>
      </c>
    </row>
    <row r="403" spans="1:8" x14ac:dyDescent="0.3">
      <c r="A403">
        <v>1</v>
      </c>
      <c r="B403" s="1">
        <v>41190</v>
      </c>
      <c r="C403">
        <v>1592409.97</v>
      </c>
      <c r="D403">
        <v>0</v>
      </c>
      <c r="E403">
        <v>85.05</v>
      </c>
      <c r="F403">
        <v>3.4940000000000002</v>
      </c>
      <c r="G403">
        <v>221.95843289999999</v>
      </c>
      <c r="H403">
        <v>6.9080000000000004</v>
      </c>
    </row>
    <row r="404" spans="1:8" x14ac:dyDescent="0.3">
      <c r="A404">
        <v>1</v>
      </c>
      <c r="B404" t="s">
        <v>86</v>
      </c>
      <c r="C404">
        <v>1597868.05</v>
      </c>
      <c r="D404">
        <v>0</v>
      </c>
      <c r="E404">
        <v>84.85</v>
      </c>
      <c r="F404">
        <v>3.5710000000000002</v>
      </c>
      <c r="G404">
        <v>222.0384109</v>
      </c>
      <c r="H404">
        <v>6.9080000000000004</v>
      </c>
    </row>
    <row r="405" spans="1:8" x14ac:dyDescent="0.3">
      <c r="A405">
        <v>1</v>
      </c>
      <c r="B405" t="s">
        <v>87</v>
      </c>
      <c r="C405">
        <v>1494122.38</v>
      </c>
      <c r="D405">
        <v>0</v>
      </c>
      <c r="E405">
        <v>77.66</v>
      </c>
      <c r="F405">
        <v>3.62</v>
      </c>
      <c r="G405">
        <v>222.17194570000001</v>
      </c>
      <c r="H405">
        <v>6.9080000000000004</v>
      </c>
    </row>
    <row r="406" spans="1:8" x14ac:dyDescent="0.3">
      <c r="A406">
        <v>1</v>
      </c>
      <c r="B406" t="s">
        <v>88</v>
      </c>
      <c r="C406">
        <v>1582083.4</v>
      </c>
      <c r="D406">
        <v>0</v>
      </c>
      <c r="E406">
        <v>80.489999999999995</v>
      </c>
      <c r="F406">
        <v>3.6379999999999999</v>
      </c>
      <c r="G406">
        <v>222.30548049999999</v>
      </c>
      <c r="H406">
        <v>6.9080000000000004</v>
      </c>
    </row>
    <row r="407" spans="1:8" x14ac:dyDescent="0.3">
      <c r="A407">
        <v>1</v>
      </c>
      <c r="B407" s="1">
        <v>41099</v>
      </c>
      <c r="C407">
        <v>1661767.33</v>
      </c>
      <c r="D407">
        <v>1</v>
      </c>
      <c r="E407">
        <v>83.96</v>
      </c>
      <c r="F407">
        <v>3.73</v>
      </c>
      <c r="G407">
        <v>222.43901529999999</v>
      </c>
      <c r="H407">
        <v>6.9080000000000004</v>
      </c>
    </row>
    <row r="408" spans="1:8" x14ac:dyDescent="0.3">
      <c r="A408">
        <v>1</v>
      </c>
      <c r="B408" t="s">
        <v>89</v>
      </c>
      <c r="C408">
        <v>1517428.87</v>
      </c>
      <c r="D408">
        <v>0</v>
      </c>
      <c r="E408">
        <v>74.97</v>
      </c>
      <c r="F408">
        <v>3.7170000000000001</v>
      </c>
      <c r="G408">
        <v>222.58201930000001</v>
      </c>
      <c r="H408">
        <v>6.9080000000000004</v>
      </c>
    </row>
    <row r="409" spans="1:8" x14ac:dyDescent="0.3">
      <c r="A409">
        <v>1</v>
      </c>
      <c r="B409" t="s">
        <v>90</v>
      </c>
      <c r="C409">
        <v>1506126.06</v>
      </c>
      <c r="D409">
        <v>0</v>
      </c>
      <c r="E409">
        <v>69.87</v>
      </c>
      <c r="F409">
        <v>3.7210000000000001</v>
      </c>
      <c r="G409">
        <v>222.78183859999999</v>
      </c>
      <c r="H409">
        <v>6.9080000000000004</v>
      </c>
    </row>
    <row r="410" spans="1:8" x14ac:dyDescent="0.3">
      <c r="A410">
        <v>1</v>
      </c>
      <c r="B410" t="s">
        <v>91</v>
      </c>
      <c r="C410">
        <v>1437059.26</v>
      </c>
      <c r="D410">
        <v>0</v>
      </c>
      <c r="E410">
        <v>76.08</v>
      </c>
      <c r="F410">
        <v>3.6659999999999999</v>
      </c>
      <c r="G410">
        <v>222.98165789999999</v>
      </c>
      <c r="H410">
        <v>6.9080000000000004</v>
      </c>
    </row>
    <row r="411" spans="1:8" x14ac:dyDescent="0.3">
      <c r="A411">
        <v>1</v>
      </c>
      <c r="B411" s="1">
        <v>41039</v>
      </c>
      <c r="C411">
        <v>1670785.97</v>
      </c>
      <c r="D411">
        <v>0</v>
      </c>
      <c r="E411">
        <v>68.55</v>
      </c>
      <c r="F411">
        <v>3.617</v>
      </c>
      <c r="G411">
        <v>223.18147719999999</v>
      </c>
      <c r="H411">
        <v>6.5730000000000004</v>
      </c>
    </row>
    <row r="412" spans="1:8" x14ac:dyDescent="0.3">
      <c r="A412">
        <v>1</v>
      </c>
      <c r="B412" s="1">
        <v>41253</v>
      </c>
      <c r="C412">
        <v>1573072.81</v>
      </c>
      <c r="D412">
        <v>0</v>
      </c>
      <c r="E412">
        <v>62.99</v>
      </c>
      <c r="F412">
        <v>3.601</v>
      </c>
      <c r="G412">
        <v>223.38129649999999</v>
      </c>
      <c r="H412">
        <v>6.5730000000000004</v>
      </c>
    </row>
    <row r="413" spans="1:8" x14ac:dyDescent="0.3">
      <c r="A413">
        <v>2</v>
      </c>
      <c r="B413" s="1">
        <v>40400</v>
      </c>
      <c r="C413">
        <v>1849921.44</v>
      </c>
      <c r="D413">
        <v>0</v>
      </c>
      <c r="E413">
        <v>63.19</v>
      </c>
      <c r="F413">
        <v>2.633</v>
      </c>
      <c r="G413">
        <v>211.4044906</v>
      </c>
      <c r="H413">
        <v>8.1630000000000003</v>
      </c>
    </row>
    <row r="414" spans="1:8" x14ac:dyDescent="0.3">
      <c r="A414">
        <v>2</v>
      </c>
      <c r="B414" t="s">
        <v>28</v>
      </c>
      <c r="C414">
        <v>1794355.49</v>
      </c>
      <c r="D414">
        <v>0</v>
      </c>
      <c r="E414">
        <v>65.8</v>
      </c>
      <c r="F414">
        <v>2.72</v>
      </c>
      <c r="G414">
        <v>211.47132859999999</v>
      </c>
      <c r="H414">
        <v>8.1630000000000003</v>
      </c>
    </row>
    <row r="415" spans="1:8" x14ac:dyDescent="0.3">
      <c r="A415">
        <v>2</v>
      </c>
      <c r="B415" t="s">
        <v>29</v>
      </c>
      <c r="C415">
        <v>1737947.64</v>
      </c>
      <c r="D415">
        <v>0</v>
      </c>
      <c r="E415">
        <v>68.5</v>
      </c>
      <c r="F415">
        <v>2.7250000000000001</v>
      </c>
      <c r="G415">
        <v>211.51872080000001</v>
      </c>
      <c r="H415">
        <v>8.1630000000000003</v>
      </c>
    </row>
    <row r="416" spans="1:8" x14ac:dyDescent="0.3">
      <c r="A416">
        <v>2</v>
      </c>
      <c r="B416" t="s">
        <v>30</v>
      </c>
      <c r="C416">
        <v>1802755.11</v>
      </c>
      <c r="D416">
        <v>0</v>
      </c>
      <c r="E416">
        <v>66.239999999999995</v>
      </c>
      <c r="F416">
        <v>2.7160000000000002</v>
      </c>
      <c r="G416">
        <v>211.5661131</v>
      </c>
      <c r="H416">
        <v>8.1630000000000003</v>
      </c>
    </row>
    <row r="417" spans="1:8" x14ac:dyDescent="0.3">
      <c r="A417">
        <v>2</v>
      </c>
      <c r="B417" s="1">
        <v>40309</v>
      </c>
      <c r="C417">
        <v>1939061.41</v>
      </c>
      <c r="D417">
        <v>0</v>
      </c>
      <c r="E417">
        <v>57.85</v>
      </c>
      <c r="F417">
        <v>2.6890000000000001</v>
      </c>
      <c r="G417">
        <v>211.61350530000001</v>
      </c>
      <c r="H417">
        <v>8.1630000000000003</v>
      </c>
    </row>
    <row r="418" spans="1:8" x14ac:dyDescent="0.3">
      <c r="A418">
        <v>2</v>
      </c>
      <c r="B418" s="1">
        <v>40523</v>
      </c>
      <c r="C418">
        <v>1916812.74</v>
      </c>
      <c r="D418">
        <v>0</v>
      </c>
      <c r="E418">
        <v>59.69</v>
      </c>
      <c r="F418">
        <v>2.7280000000000002</v>
      </c>
      <c r="G418">
        <v>211.6608975</v>
      </c>
      <c r="H418">
        <v>8.1630000000000003</v>
      </c>
    </row>
    <row r="419" spans="1:8" x14ac:dyDescent="0.3">
      <c r="A419">
        <v>2</v>
      </c>
      <c r="B419" t="s">
        <v>31</v>
      </c>
      <c r="C419">
        <v>1956739.17</v>
      </c>
      <c r="D419">
        <v>0</v>
      </c>
      <c r="E419">
        <v>50.81</v>
      </c>
      <c r="F419">
        <v>2.7709999999999999</v>
      </c>
      <c r="G419">
        <v>211.54703040000001</v>
      </c>
      <c r="H419">
        <v>8.1630000000000003</v>
      </c>
    </row>
    <row r="420" spans="1:8" x14ac:dyDescent="0.3">
      <c r="A420">
        <v>2</v>
      </c>
      <c r="B420" t="s">
        <v>32</v>
      </c>
      <c r="C420">
        <v>2658725.29</v>
      </c>
      <c r="D420">
        <v>1</v>
      </c>
      <c r="E420">
        <v>62.98</v>
      </c>
      <c r="F420">
        <v>2.7349999999999999</v>
      </c>
      <c r="G420">
        <v>211.40628670000001</v>
      </c>
      <c r="H420">
        <v>8.1630000000000003</v>
      </c>
    </row>
    <row r="421" spans="1:8" x14ac:dyDescent="0.3">
      <c r="A421">
        <v>2</v>
      </c>
      <c r="B421" s="1">
        <v>40249</v>
      </c>
      <c r="C421">
        <v>2015781.27</v>
      </c>
      <c r="D421">
        <v>0</v>
      </c>
      <c r="E421">
        <v>49.33</v>
      </c>
      <c r="F421">
        <v>2.7080000000000002</v>
      </c>
      <c r="G421">
        <v>211.26554300000001</v>
      </c>
      <c r="H421">
        <v>8.1630000000000003</v>
      </c>
    </row>
    <row r="422" spans="1:8" x14ac:dyDescent="0.3">
      <c r="A422">
        <v>2</v>
      </c>
      <c r="B422" s="1">
        <v>40463</v>
      </c>
      <c r="C422">
        <v>2378726.5499999998</v>
      </c>
      <c r="D422">
        <v>0</v>
      </c>
      <c r="E422">
        <v>45.5</v>
      </c>
      <c r="F422">
        <v>2.843</v>
      </c>
      <c r="G422">
        <v>211.12479930000001</v>
      </c>
      <c r="H422">
        <v>8.1630000000000003</v>
      </c>
    </row>
    <row r="423" spans="1:8" x14ac:dyDescent="0.3">
      <c r="A423">
        <v>2</v>
      </c>
      <c r="B423" t="s">
        <v>33</v>
      </c>
      <c r="C423">
        <v>2609166.75</v>
      </c>
      <c r="D423">
        <v>0</v>
      </c>
      <c r="E423">
        <v>47.55</v>
      </c>
      <c r="F423">
        <v>2.8690000000000002</v>
      </c>
      <c r="G423">
        <v>211.06454579999999</v>
      </c>
      <c r="H423">
        <v>8.1630000000000003</v>
      </c>
    </row>
    <row r="424" spans="1:8" x14ac:dyDescent="0.3">
      <c r="A424">
        <v>3</v>
      </c>
      <c r="B424" t="s">
        <v>18</v>
      </c>
      <c r="C424">
        <v>364076.85</v>
      </c>
      <c r="D424">
        <v>0</v>
      </c>
      <c r="E424">
        <v>83.52</v>
      </c>
      <c r="F424">
        <v>2.637</v>
      </c>
      <c r="G424">
        <v>214.78582589999999</v>
      </c>
      <c r="H424">
        <v>7.343</v>
      </c>
    </row>
    <row r="425" spans="1:8" x14ac:dyDescent="0.3">
      <c r="A425">
        <v>3</v>
      </c>
      <c r="B425" t="s">
        <v>19</v>
      </c>
      <c r="C425">
        <v>357346.48</v>
      </c>
      <c r="D425">
        <v>0</v>
      </c>
      <c r="E425">
        <v>83.79</v>
      </c>
      <c r="F425">
        <v>2.653</v>
      </c>
      <c r="G425">
        <v>214.6660741</v>
      </c>
      <c r="H425">
        <v>7.343</v>
      </c>
    </row>
    <row r="426" spans="1:8" x14ac:dyDescent="0.3">
      <c r="A426">
        <v>3</v>
      </c>
      <c r="B426" s="1">
        <v>40216</v>
      </c>
      <c r="C426">
        <v>381151.72</v>
      </c>
      <c r="D426">
        <v>0</v>
      </c>
      <c r="E426">
        <v>82.2</v>
      </c>
      <c r="F426">
        <v>2.669</v>
      </c>
      <c r="G426">
        <v>214.54632219999999</v>
      </c>
      <c r="H426">
        <v>7.3460000000000001</v>
      </c>
    </row>
    <row r="427" spans="1:8" x14ac:dyDescent="0.3">
      <c r="A427">
        <v>3</v>
      </c>
      <c r="B427" s="1">
        <v>40428</v>
      </c>
      <c r="C427">
        <v>349214.18</v>
      </c>
      <c r="D427">
        <v>0</v>
      </c>
      <c r="E427">
        <v>81.75</v>
      </c>
      <c r="F427">
        <v>2.6419999999999999</v>
      </c>
      <c r="G427">
        <v>214.4265704</v>
      </c>
      <c r="H427">
        <v>7.3460000000000001</v>
      </c>
    </row>
    <row r="428" spans="1:8" x14ac:dyDescent="0.3">
      <c r="A428">
        <v>3</v>
      </c>
      <c r="B428" t="s">
        <v>20</v>
      </c>
      <c r="C428">
        <v>352728.78</v>
      </c>
      <c r="D428">
        <v>0</v>
      </c>
      <c r="E428">
        <v>84.32</v>
      </c>
      <c r="F428">
        <v>2.6230000000000002</v>
      </c>
      <c r="G428">
        <v>214.41764760000001</v>
      </c>
      <c r="H428">
        <v>7.3460000000000001</v>
      </c>
    </row>
    <row r="429" spans="1:8" x14ac:dyDescent="0.3">
      <c r="A429">
        <v>3</v>
      </c>
      <c r="B429" t="s">
        <v>21</v>
      </c>
      <c r="C429">
        <v>352864.49</v>
      </c>
      <c r="D429">
        <v>0</v>
      </c>
      <c r="E429">
        <v>83.32</v>
      </c>
      <c r="F429">
        <v>2.6080000000000001</v>
      </c>
      <c r="G429">
        <v>214.55649679999999</v>
      </c>
      <c r="H429">
        <v>7.3460000000000001</v>
      </c>
    </row>
    <row r="430" spans="1:8" x14ac:dyDescent="0.3">
      <c r="A430">
        <v>3</v>
      </c>
      <c r="B430" t="s">
        <v>22</v>
      </c>
      <c r="C430">
        <v>347955.05</v>
      </c>
      <c r="D430">
        <v>0</v>
      </c>
      <c r="E430">
        <v>82.04</v>
      </c>
      <c r="F430">
        <v>2.64</v>
      </c>
      <c r="G430">
        <v>214.695346</v>
      </c>
      <c r="H430">
        <v>7.3460000000000001</v>
      </c>
    </row>
    <row r="431" spans="1:8" x14ac:dyDescent="0.3">
      <c r="A431">
        <v>3</v>
      </c>
      <c r="B431" s="1">
        <v>40337</v>
      </c>
      <c r="C431">
        <v>402635.76</v>
      </c>
      <c r="D431">
        <v>0</v>
      </c>
      <c r="E431">
        <v>85.13</v>
      </c>
      <c r="F431">
        <v>2.6269999999999998</v>
      </c>
      <c r="G431">
        <v>214.83419520000001</v>
      </c>
      <c r="H431">
        <v>7.3460000000000001</v>
      </c>
    </row>
    <row r="432" spans="1:8" x14ac:dyDescent="0.3">
      <c r="A432">
        <v>3</v>
      </c>
      <c r="B432" t="s">
        <v>23</v>
      </c>
      <c r="C432">
        <v>339597.38</v>
      </c>
      <c r="D432">
        <v>0</v>
      </c>
      <c r="E432">
        <v>86.74</v>
      </c>
      <c r="F432">
        <v>2.6920000000000002</v>
      </c>
      <c r="G432">
        <v>214.97304439999999</v>
      </c>
      <c r="H432">
        <v>7.3460000000000001</v>
      </c>
    </row>
    <row r="433" spans="1:8" x14ac:dyDescent="0.3">
      <c r="A433">
        <v>3</v>
      </c>
      <c r="B433" t="s">
        <v>24</v>
      </c>
      <c r="C433">
        <v>351728.21</v>
      </c>
      <c r="D433">
        <v>0</v>
      </c>
      <c r="E433">
        <v>88.02</v>
      </c>
      <c r="F433">
        <v>2.6640000000000001</v>
      </c>
      <c r="G433">
        <v>214.9314191</v>
      </c>
      <c r="H433">
        <v>7.3460000000000001</v>
      </c>
    </row>
    <row r="434" spans="1:8" x14ac:dyDescent="0.3">
      <c r="A434">
        <v>3</v>
      </c>
      <c r="B434" t="s">
        <v>25</v>
      </c>
      <c r="C434">
        <v>362134.09</v>
      </c>
      <c r="D434">
        <v>0</v>
      </c>
      <c r="E434">
        <v>86.15</v>
      </c>
      <c r="F434">
        <v>2.6190000000000002</v>
      </c>
      <c r="G434">
        <v>214.88979380000001</v>
      </c>
      <c r="H434">
        <v>7.3460000000000001</v>
      </c>
    </row>
    <row r="435" spans="1:8" x14ac:dyDescent="0.3">
      <c r="B43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C9A4-875B-45AD-A39F-CE826B3DC1D1}">
  <dimension ref="A1:H434"/>
  <sheetViews>
    <sheetView tabSelected="1" zoomScale="70" zoomScaleNormal="70" workbookViewId="0">
      <selection activeCell="C159" sqref="C159"/>
    </sheetView>
  </sheetViews>
  <sheetFormatPr defaultRowHeight="14.4" x14ac:dyDescent="0.3"/>
  <cols>
    <col min="2" max="2" width="11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40300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3">
      <c r="A3">
        <v>1</v>
      </c>
      <c r="B3" s="1">
        <v>40514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3">
      <c r="A4">
        <v>1</v>
      </c>
      <c r="B4" t="s">
        <v>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3">
      <c r="A5">
        <v>1</v>
      </c>
      <c r="B5" t="s">
        <v>9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3">
      <c r="A6">
        <v>1</v>
      </c>
      <c r="B6" s="1">
        <v>40301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3">
      <c r="A7">
        <v>1</v>
      </c>
      <c r="B7" s="1">
        <v>40515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3">
      <c r="A8">
        <v>1</v>
      </c>
      <c r="B8" t="s">
        <v>10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3">
      <c r="A9">
        <v>1</v>
      </c>
      <c r="B9" t="s">
        <v>11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3">
      <c r="A10">
        <v>1</v>
      </c>
      <c r="B10" s="1">
        <v>40213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3">
      <c r="A11">
        <v>1</v>
      </c>
      <c r="B11" s="1">
        <v>40425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3">
      <c r="A12">
        <v>1</v>
      </c>
      <c r="B12" t="s">
        <v>12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3">
      <c r="A13">
        <v>1</v>
      </c>
      <c r="B13" t="s">
        <v>13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3">
      <c r="A14">
        <v>1</v>
      </c>
      <c r="B14" t="s">
        <v>14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3">
      <c r="A15">
        <v>1</v>
      </c>
      <c r="B15" s="1">
        <v>40364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3">
      <c r="A16">
        <v>1</v>
      </c>
      <c r="B16" t="s">
        <v>15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3">
      <c r="A17">
        <v>1</v>
      </c>
      <c r="B17" t="s">
        <v>16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3">
      <c r="A18">
        <v>1</v>
      </c>
      <c r="B18" t="s">
        <v>17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3">
      <c r="A19">
        <v>1</v>
      </c>
      <c r="B19" s="1">
        <v>40274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3">
      <c r="A20">
        <v>1</v>
      </c>
      <c r="B20" s="1">
        <v>40488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3">
      <c r="A21">
        <v>1</v>
      </c>
      <c r="B21" t="s">
        <v>18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3">
      <c r="A22">
        <v>1</v>
      </c>
      <c r="B22" t="s">
        <v>19</v>
      </c>
      <c r="C22">
        <v>1422711.6</v>
      </c>
      <c r="D22" t="s">
        <v>101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3">
      <c r="A23">
        <v>1</v>
      </c>
      <c r="B23" s="1">
        <v>40216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3">
      <c r="A24">
        <v>1</v>
      </c>
      <c r="B24" s="1">
        <v>40428</v>
      </c>
      <c r="C24">
        <v>1546074.18</v>
      </c>
      <c r="D24">
        <v>0</v>
      </c>
      <c r="F24">
        <v>2.6419999999999999</v>
      </c>
      <c r="G24">
        <v>211.10841400000001</v>
      </c>
      <c r="H24">
        <v>7.7869999999999999</v>
      </c>
    </row>
    <row r="25" spans="1:8" x14ac:dyDescent="0.3">
      <c r="A25">
        <v>1</v>
      </c>
      <c r="B25" t="s">
        <v>20</v>
      </c>
      <c r="C25">
        <v>1448938.92</v>
      </c>
      <c r="D25">
        <v>0</v>
      </c>
      <c r="E25">
        <v>83.15</v>
      </c>
      <c r="G25">
        <v>211.10038539999999</v>
      </c>
      <c r="H25">
        <v>7.7869999999999999</v>
      </c>
    </row>
    <row r="26" spans="1:8" x14ac:dyDescent="0.3">
      <c r="A26">
        <v>1</v>
      </c>
      <c r="B26" t="s">
        <v>21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3">
      <c r="A27">
        <v>1</v>
      </c>
      <c r="B27" t="s">
        <v>22</v>
      </c>
      <c r="C27">
        <v>1371986.6</v>
      </c>
      <c r="D27">
        <v>0</v>
      </c>
      <c r="F27">
        <v>2.64</v>
      </c>
      <c r="G27">
        <v>211.36990320000001</v>
      </c>
      <c r="H27">
        <v>7.7869999999999999</v>
      </c>
    </row>
    <row r="28" spans="1:8" x14ac:dyDescent="0.3">
      <c r="A28">
        <v>1</v>
      </c>
      <c r="B28" s="1">
        <v>40337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3">
      <c r="A29">
        <v>1</v>
      </c>
      <c r="B29" t="s">
        <v>23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3">
      <c r="A30">
        <v>1</v>
      </c>
      <c r="B30" t="s">
        <v>24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3">
      <c r="A31">
        <v>1</v>
      </c>
      <c r="B31" t="s">
        <v>25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3">
      <c r="A32">
        <v>1</v>
      </c>
      <c r="B32" s="1">
        <v>40246</v>
      </c>
      <c r="C32">
        <v>1540163.53</v>
      </c>
      <c r="D32">
        <v>0</v>
      </c>
      <c r="E32">
        <v>81.209999999999994</v>
      </c>
      <c r="G32">
        <v>211.53124790000001</v>
      </c>
      <c r="H32">
        <v>7.7869999999999999</v>
      </c>
    </row>
    <row r="33" spans="1:8" x14ac:dyDescent="0.3">
      <c r="A33">
        <v>1</v>
      </c>
      <c r="B33" s="1">
        <v>40460</v>
      </c>
      <c r="C33">
        <v>1507460.69</v>
      </c>
      <c r="D33" t="s">
        <v>103</v>
      </c>
      <c r="E33">
        <v>78.69</v>
      </c>
      <c r="F33">
        <v>2.5649999999999999</v>
      </c>
      <c r="H33">
        <v>7.7869999999999999</v>
      </c>
    </row>
    <row r="34" spans="1:8" x14ac:dyDescent="0.3">
      <c r="A34">
        <v>1</v>
      </c>
      <c r="B34" t="s">
        <v>26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</row>
    <row r="35" spans="1:8" x14ac:dyDescent="0.3">
      <c r="A35">
        <v>1</v>
      </c>
      <c r="B35" t="s">
        <v>27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3">
      <c r="A36">
        <v>1</v>
      </c>
      <c r="B36" s="1">
        <v>40188</v>
      </c>
      <c r="C36">
        <v>1453329.5</v>
      </c>
      <c r="D36">
        <v>0</v>
      </c>
      <c r="G36">
        <v>211.6719895</v>
      </c>
      <c r="H36">
        <v>7.8380000000000001</v>
      </c>
    </row>
    <row r="37" spans="1:8" x14ac:dyDescent="0.3">
      <c r="A37">
        <v>1</v>
      </c>
      <c r="B37" s="1">
        <v>40400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3">
      <c r="A38">
        <v>1</v>
      </c>
      <c r="B38" t="s">
        <v>28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3">
      <c r="A39">
        <v>1</v>
      </c>
      <c r="B39" t="s">
        <v>29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3">
      <c r="A40">
        <v>1</v>
      </c>
      <c r="B40" t="s">
        <v>30</v>
      </c>
      <c r="C40">
        <v>1384209.22</v>
      </c>
      <c r="D40">
        <v>0</v>
      </c>
      <c r="F40">
        <v>2.7160000000000002</v>
      </c>
      <c r="G40">
        <v>211.9088438</v>
      </c>
      <c r="H40">
        <v>7.8380000000000001</v>
      </c>
    </row>
    <row r="41" spans="1:8" x14ac:dyDescent="0.3">
      <c r="A41">
        <v>1</v>
      </c>
      <c r="B41" s="1">
        <v>40309</v>
      </c>
      <c r="C41">
        <v>1551659.28</v>
      </c>
      <c r="D41">
        <v>0</v>
      </c>
      <c r="E41">
        <v>58.74</v>
      </c>
      <c r="G41">
        <v>211.95639389999999</v>
      </c>
      <c r="H41">
        <v>7.8380000000000001</v>
      </c>
    </row>
    <row r="42" spans="1:8" x14ac:dyDescent="0.3">
      <c r="A42">
        <v>1</v>
      </c>
      <c r="B42" s="1">
        <v>40523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3">
      <c r="A43">
        <v>1</v>
      </c>
      <c r="B43" t="s">
        <v>31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3">
      <c r="A44">
        <v>1</v>
      </c>
      <c r="B44" t="s">
        <v>32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3">
      <c r="A45">
        <v>1</v>
      </c>
      <c r="B45" s="1">
        <v>40249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3">
      <c r="A46">
        <v>1</v>
      </c>
      <c r="B46" s="1">
        <v>40463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3">
      <c r="A47">
        <v>1</v>
      </c>
      <c r="B47" t="s">
        <v>33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3">
      <c r="A48">
        <v>1</v>
      </c>
      <c r="B48" t="s">
        <v>34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3">
      <c r="A49">
        <v>1</v>
      </c>
      <c r="B49" t="s">
        <v>35</v>
      </c>
      <c r="C49">
        <v>1367320.01</v>
      </c>
      <c r="D49" t="s">
        <v>98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3">
      <c r="A50">
        <v>1</v>
      </c>
      <c r="B50" s="1">
        <v>40725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3">
      <c r="A51">
        <v>1</v>
      </c>
      <c r="B51" t="s">
        <v>36</v>
      </c>
      <c r="C51">
        <v>1391013.96</v>
      </c>
      <c r="D51">
        <v>0</v>
      </c>
      <c r="F51">
        <v>2.9830000000000001</v>
      </c>
      <c r="G51">
        <v>211.45741090000001</v>
      </c>
      <c r="H51">
        <v>7.742</v>
      </c>
    </row>
    <row r="52" spans="1:8" x14ac:dyDescent="0.3">
      <c r="A52">
        <v>1</v>
      </c>
      <c r="B52" t="s">
        <v>37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3">
      <c r="A53">
        <v>1</v>
      </c>
      <c r="B53" t="s">
        <v>38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3">
      <c r="A54">
        <v>1</v>
      </c>
      <c r="B54" s="1">
        <v>40635</v>
      </c>
      <c r="C54">
        <v>1606629.58</v>
      </c>
      <c r="D54">
        <v>0</v>
      </c>
      <c r="E54">
        <v>42.27</v>
      </c>
      <c r="G54">
        <v>212.56688120000001</v>
      </c>
      <c r="H54">
        <v>7.742</v>
      </c>
    </row>
    <row r="55" spans="1:8" x14ac:dyDescent="0.3">
      <c r="A55">
        <v>1</v>
      </c>
      <c r="B55" s="1">
        <v>40849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3">
      <c r="A56">
        <v>1</v>
      </c>
      <c r="B56" t="s">
        <v>39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3">
      <c r="A57">
        <v>1</v>
      </c>
      <c r="B57" t="s">
        <v>40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3">
      <c r="A58">
        <v>1</v>
      </c>
      <c r="B58" s="1">
        <v>40636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3">
      <c r="A59">
        <v>1</v>
      </c>
      <c r="B59" s="1">
        <v>40850</v>
      </c>
      <c r="C59">
        <v>1553191.63</v>
      </c>
      <c r="D59">
        <v>0</v>
      </c>
      <c r="F59">
        <v>3.4590000000000001</v>
      </c>
      <c r="H59">
        <v>7.742</v>
      </c>
    </row>
    <row r="60" spans="1:8" x14ac:dyDescent="0.3">
      <c r="A60">
        <v>1</v>
      </c>
      <c r="B60" t="s">
        <v>41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3">
      <c r="A61">
        <v>1</v>
      </c>
      <c r="B61" t="s">
        <v>42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3">
      <c r="A62">
        <v>1</v>
      </c>
      <c r="B62" s="1">
        <v>40547</v>
      </c>
      <c r="C62">
        <v>-1495064.75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3">
      <c r="A63">
        <v>1</v>
      </c>
      <c r="B63" s="1">
        <v>40759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3">
      <c r="A64">
        <v>1</v>
      </c>
      <c r="B64" t="s">
        <v>43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3">
      <c r="A65">
        <v>1</v>
      </c>
      <c r="B65" t="s">
        <v>44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3">
      <c r="A66">
        <v>1</v>
      </c>
      <c r="B66" t="s">
        <v>45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3">
      <c r="A67">
        <v>1</v>
      </c>
      <c r="B67" s="1">
        <v>40699</v>
      </c>
      <c r="C67">
        <v>1629391.28</v>
      </c>
      <c r="D67" t="s">
        <v>101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3">
      <c r="A68">
        <v>1</v>
      </c>
      <c r="B68" t="s">
        <v>46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3">
      <c r="A69">
        <v>1</v>
      </c>
      <c r="B69" t="s">
        <v>47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3">
      <c r="A70">
        <v>1</v>
      </c>
      <c r="B70" t="s">
        <v>48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3">
      <c r="A71">
        <v>1</v>
      </c>
      <c r="B71" s="1">
        <v>40608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3">
      <c r="A72">
        <v>1</v>
      </c>
      <c r="B72" s="1">
        <v>40822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3">
      <c r="A73">
        <v>1</v>
      </c>
      <c r="B73" t="s">
        <v>49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3">
      <c r="A74">
        <v>1</v>
      </c>
      <c r="B74" t="s">
        <v>50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3">
      <c r="A75">
        <v>1</v>
      </c>
      <c r="B75" s="1">
        <v>40550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3">
      <c r="A76">
        <v>1</v>
      </c>
      <c r="B76" s="1">
        <v>40762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3">
      <c r="A77">
        <v>1</v>
      </c>
      <c r="B77" t="s">
        <v>51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3">
      <c r="A78">
        <v>1</v>
      </c>
      <c r="B78" t="s">
        <v>52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3">
      <c r="A79">
        <v>1</v>
      </c>
      <c r="B79" t="s">
        <v>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3">
      <c r="A80">
        <v>1</v>
      </c>
      <c r="B80" s="1">
        <v>40671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3">
      <c r="A81">
        <v>1</v>
      </c>
      <c r="B81" s="1">
        <v>40885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3">
      <c r="A82">
        <v>1</v>
      </c>
      <c r="B82" t="s">
        <v>54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3">
      <c r="A83">
        <v>1</v>
      </c>
      <c r="B83" t="s">
        <v>55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3">
      <c r="A84">
        <v>1</v>
      </c>
      <c r="B84" s="1">
        <v>40583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3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3">
      <c r="A86">
        <v>1</v>
      </c>
      <c r="B86" t="s">
        <v>56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3">
      <c r="A87">
        <v>1</v>
      </c>
      <c r="B87" t="s">
        <v>57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3">
      <c r="A88">
        <v>1</v>
      </c>
      <c r="B88" t="s">
        <v>58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3">
      <c r="A89">
        <v>1</v>
      </c>
      <c r="B89" s="1">
        <v>40734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3">
      <c r="A90">
        <v>1</v>
      </c>
      <c r="B90" t="s">
        <v>59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3">
      <c r="A91">
        <v>1</v>
      </c>
      <c r="B91" t="s">
        <v>60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3">
      <c r="A92">
        <v>1</v>
      </c>
      <c r="B92" t="s">
        <v>61</v>
      </c>
      <c r="C92">
        <v>-1445249.09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3">
      <c r="A93">
        <v>1</v>
      </c>
      <c r="B93" s="1">
        <v>40644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3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3">
      <c r="A95">
        <v>1</v>
      </c>
      <c r="B95" t="s">
        <v>62</v>
      </c>
      <c r="C95">
        <v>-1539483.7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3">
      <c r="A96">
        <v>1</v>
      </c>
      <c r="B96" t="s">
        <v>63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3">
      <c r="A97">
        <v>1</v>
      </c>
      <c r="B97" s="1">
        <v>40586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3">
      <c r="A98">
        <v>1</v>
      </c>
      <c r="B98" s="1">
        <v>40798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3">
      <c r="A99">
        <v>1</v>
      </c>
      <c r="B99" t="s">
        <v>64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3">
      <c r="A100">
        <v>1</v>
      </c>
      <c r="B100" t="s">
        <v>65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3">
      <c r="A101">
        <v>1</v>
      </c>
      <c r="B101" t="s">
        <v>66</v>
      </c>
      <c r="C101">
        <v>1497462.72</v>
      </c>
      <c r="D101">
        <v>0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3">
      <c r="A102">
        <v>1</v>
      </c>
      <c r="B102" s="1">
        <v>41061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3">
      <c r="A103">
        <v>1</v>
      </c>
      <c r="B103" t="s">
        <v>67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3">
      <c r="A104">
        <v>1</v>
      </c>
      <c r="B104" t="s">
        <v>68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3">
      <c r="A105">
        <v>1</v>
      </c>
      <c r="B105" t="s">
        <v>69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3">
      <c r="A106">
        <v>1</v>
      </c>
      <c r="B106" s="1">
        <v>40970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3">
      <c r="A107">
        <v>1</v>
      </c>
      <c r="B107" s="1">
        <v>41184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3">
      <c r="A108">
        <v>1</v>
      </c>
      <c r="B108" t="s">
        <v>70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3">
      <c r="A109">
        <v>1</v>
      </c>
      <c r="B109" t="s">
        <v>71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3">
      <c r="A110">
        <v>1</v>
      </c>
      <c r="B110" s="1">
        <v>40942</v>
      </c>
      <c r="C110">
        <v>1688420.76</v>
      </c>
      <c r="D110">
        <v>0</v>
      </c>
      <c r="E110">
        <v>-60.96</v>
      </c>
      <c r="F110">
        <v>3.63</v>
      </c>
      <c r="G110">
        <v>220.84804539999999</v>
      </c>
      <c r="H110">
        <v>7.3479999999999999</v>
      </c>
    </row>
    <row r="111" spans="1:8" x14ac:dyDescent="0.3">
      <c r="A111">
        <v>1</v>
      </c>
      <c r="B111" s="1">
        <v>41155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3">
      <c r="A112">
        <v>1</v>
      </c>
      <c r="B112" t="s">
        <v>72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3">
      <c r="A113">
        <v>1</v>
      </c>
      <c r="B113" t="s">
        <v>73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3">
      <c r="A114">
        <v>1</v>
      </c>
      <c r="B114" t="s">
        <v>74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3">
      <c r="A115">
        <v>1</v>
      </c>
      <c r="B115" s="1">
        <v>41064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3">
      <c r="A116">
        <v>1</v>
      </c>
      <c r="B116" t="s">
        <v>75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3">
      <c r="A117">
        <v>1</v>
      </c>
      <c r="B117" t="s">
        <v>76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3">
      <c r="A118">
        <v>1</v>
      </c>
      <c r="B118" t="s">
        <v>77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3">
      <c r="A119">
        <v>1</v>
      </c>
      <c r="B119" s="1">
        <v>41004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3">
      <c r="A120">
        <v>1</v>
      </c>
      <c r="B120" s="1">
        <v>41218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3">
      <c r="A121">
        <v>1</v>
      </c>
      <c r="B121" t="s">
        <v>78</v>
      </c>
      <c r="C121">
        <v>1595901.87</v>
      </c>
      <c r="D121">
        <v>0</v>
      </c>
      <c r="E121">
        <v>70.33</v>
      </c>
      <c r="F121">
        <v>-3.63</v>
      </c>
      <c r="G121">
        <v>221.74267399999999</v>
      </c>
      <c r="H121">
        <v>7.1429999999999998</v>
      </c>
    </row>
    <row r="122" spans="1:8" x14ac:dyDescent="0.3">
      <c r="A122">
        <v>1</v>
      </c>
      <c r="B122" t="s">
        <v>79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3">
      <c r="A123">
        <v>1</v>
      </c>
      <c r="B123" s="1">
        <v>40914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3">
      <c r="A124">
        <v>1</v>
      </c>
      <c r="B124" s="1">
        <v>41127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3">
      <c r="A125">
        <v>1</v>
      </c>
      <c r="B125" t="s">
        <v>80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3">
      <c r="A126">
        <v>1</v>
      </c>
      <c r="B126" t="s">
        <v>81</v>
      </c>
      <c r="C126">
        <v>1527845.81</v>
      </c>
      <c r="D126" t="s">
        <v>102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3">
      <c r="A127">
        <v>1</v>
      </c>
      <c r="B127" t="s">
        <v>82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3">
      <c r="A128">
        <v>1</v>
      </c>
      <c r="B128" s="1">
        <v>41067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3">
      <c r="A129">
        <v>1</v>
      </c>
      <c r="B129" t="s">
        <v>83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3">
      <c r="A130">
        <v>1</v>
      </c>
      <c r="B130" t="s">
        <v>84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3">
      <c r="A131">
        <v>1</v>
      </c>
      <c r="B131" t="s">
        <v>85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3">
      <c r="A132">
        <v>1</v>
      </c>
      <c r="B132" s="1">
        <v>40976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3">
      <c r="A133">
        <v>1</v>
      </c>
      <c r="B133" s="1">
        <v>41190</v>
      </c>
      <c r="C133">
        <v>1592409.97</v>
      </c>
      <c r="D133" t="s">
        <v>99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3">
      <c r="A134">
        <v>1</v>
      </c>
      <c r="B134" t="s">
        <v>86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3">
      <c r="A135">
        <v>1</v>
      </c>
      <c r="B135" t="s">
        <v>87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3">
      <c r="A136">
        <v>1</v>
      </c>
      <c r="B136" t="s">
        <v>88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3">
      <c r="A137">
        <v>1</v>
      </c>
      <c r="B137" s="1">
        <v>41099</v>
      </c>
      <c r="C137">
        <v>1661767.33</v>
      </c>
      <c r="D137" t="s">
        <v>103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3">
      <c r="A138">
        <v>1</v>
      </c>
      <c r="B138" t="s">
        <v>89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3">
      <c r="A139">
        <v>1</v>
      </c>
      <c r="B139" t="s">
        <v>90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3">
      <c r="A140">
        <v>1</v>
      </c>
      <c r="B140" t="s">
        <v>91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3">
      <c r="A141">
        <v>1</v>
      </c>
      <c r="B141" s="1">
        <v>41039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3">
      <c r="A142">
        <v>1</v>
      </c>
      <c r="B142" s="1">
        <v>41253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3">
      <c r="A143">
        <v>1</v>
      </c>
      <c r="B143" t="s">
        <v>92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3">
      <c r="A144">
        <v>1</v>
      </c>
      <c r="B144" t="s">
        <v>93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3">
      <c r="A145">
        <v>2</v>
      </c>
      <c r="B145" s="1">
        <v>40300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3">
      <c r="A146">
        <v>2</v>
      </c>
      <c r="B146" s="1">
        <v>40514</v>
      </c>
      <c r="C146">
        <v>2137809.5</v>
      </c>
      <c r="D146" t="s">
        <v>104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3">
      <c r="A147">
        <v>2</v>
      </c>
      <c r="B147" t="s">
        <v>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3">
      <c r="A148">
        <v>2</v>
      </c>
      <c r="B148" t="s">
        <v>9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3">
      <c r="A149">
        <v>2</v>
      </c>
      <c r="B149" s="1">
        <v>40301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3">
      <c r="A150">
        <v>2</v>
      </c>
      <c r="B150" s="1">
        <v>40515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3">
      <c r="A151">
        <v>2</v>
      </c>
      <c r="B151" t="s">
        <v>10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3">
      <c r="A152">
        <v>2</v>
      </c>
      <c r="B152" t="s">
        <v>11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3">
      <c r="A153">
        <v>2</v>
      </c>
      <c r="B153" s="1">
        <v>40213</v>
      </c>
      <c r="C153" t="s">
        <v>106</v>
      </c>
      <c r="D153">
        <v>0</v>
      </c>
      <c r="F153">
        <v>2.7189999999999999</v>
      </c>
      <c r="G153">
        <v>210.4798874</v>
      </c>
      <c r="H153">
        <v>8.1999999999999993</v>
      </c>
    </row>
    <row r="154" spans="1:8" x14ac:dyDescent="0.3">
      <c r="A154">
        <v>2</v>
      </c>
      <c r="B154" s="1">
        <v>40425</v>
      </c>
      <c r="C154">
        <v>1954689.21</v>
      </c>
      <c r="D154" t="s">
        <v>102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3">
      <c r="A155">
        <v>2</v>
      </c>
      <c r="B155" t="s">
        <v>12</v>
      </c>
      <c r="C155">
        <v>1874957.94</v>
      </c>
      <c r="D155">
        <v>0</v>
      </c>
      <c r="E155">
        <v>68.069999999999993</v>
      </c>
      <c r="H155">
        <v>8.1999999999999993</v>
      </c>
    </row>
    <row r="156" spans="1:8" x14ac:dyDescent="0.3">
      <c r="A156">
        <v>2</v>
      </c>
      <c r="B156" t="s">
        <v>13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3">
      <c r="A157">
        <v>2</v>
      </c>
      <c r="B157" t="s">
        <v>14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</row>
    <row r="158" spans="1:8" x14ac:dyDescent="0.3">
      <c r="A158">
        <v>2</v>
      </c>
      <c r="B158" s="1">
        <v>40364</v>
      </c>
      <c r="C158" t="s">
        <v>119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3">
      <c r="A159">
        <v>2</v>
      </c>
      <c r="B159" t="s">
        <v>15</v>
      </c>
      <c r="C159">
        <v>1880752.36</v>
      </c>
      <c r="D159">
        <v>0</v>
      </c>
      <c r="E159">
        <v>73.31</v>
      </c>
      <c r="F159">
        <v>2.8540000000000001</v>
      </c>
      <c r="H159">
        <v>8.1999999999999993</v>
      </c>
    </row>
    <row r="160" spans="1:8" x14ac:dyDescent="0.3">
      <c r="A160">
        <v>2</v>
      </c>
      <c r="B160" t="s">
        <v>16</v>
      </c>
      <c r="C160">
        <v>1896937.1</v>
      </c>
      <c r="D160">
        <v>0</v>
      </c>
      <c r="E160">
        <v>-74.83</v>
      </c>
      <c r="G160">
        <v>210.27684429999999</v>
      </c>
      <c r="H160">
        <v>8.1999999999999993</v>
      </c>
    </row>
    <row r="161" spans="1:8" x14ac:dyDescent="0.3">
      <c r="A161">
        <v>2</v>
      </c>
      <c r="B161" t="s">
        <v>17</v>
      </c>
      <c r="C161">
        <v>1957113.89</v>
      </c>
      <c r="D161">
        <v>0</v>
      </c>
      <c r="F161">
        <v>2.7589999999999999</v>
      </c>
      <c r="G161">
        <v>210.55523009999999</v>
      </c>
      <c r="H161">
        <v>8.1999999999999993</v>
      </c>
    </row>
    <row r="162" spans="1:8" x14ac:dyDescent="0.3">
      <c r="A162">
        <v>2</v>
      </c>
      <c r="B162" s="1">
        <v>40274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3">
      <c r="A163">
        <v>2</v>
      </c>
      <c r="B163" s="1">
        <v>40488</v>
      </c>
      <c r="C163" t="s">
        <v>106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3">
      <c r="A164">
        <v>2</v>
      </c>
      <c r="B164" t="s">
        <v>18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3">
      <c r="A165">
        <v>2</v>
      </c>
      <c r="B165" t="s">
        <v>19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3">
      <c r="A166">
        <v>2</v>
      </c>
      <c r="B166" s="1">
        <v>40216</v>
      </c>
      <c r="C166">
        <v>2003940.64</v>
      </c>
      <c r="D166">
        <v>0</v>
      </c>
      <c r="E166">
        <v>82.74</v>
      </c>
      <c r="G166">
        <v>210.88037259999999</v>
      </c>
      <c r="H166">
        <v>8.0990000000000002</v>
      </c>
    </row>
    <row r="167" spans="1:8" x14ac:dyDescent="0.3">
      <c r="A167">
        <v>2</v>
      </c>
      <c r="B167" s="1">
        <v>40428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3">
      <c r="A168">
        <v>2</v>
      </c>
      <c r="B168" t="s">
        <v>20</v>
      </c>
      <c r="C168">
        <v>1845879.79</v>
      </c>
      <c r="D168">
        <v>0</v>
      </c>
      <c r="E168">
        <v>85.32</v>
      </c>
      <c r="F168">
        <v>2.6230000000000002</v>
      </c>
      <c r="H168">
        <v>8.0990000000000002</v>
      </c>
    </row>
    <row r="169" spans="1:8" x14ac:dyDescent="0.3">
      <c r="A169">
        <v>2</v>
      </c>
      <c r="B169" t="s">
        <v>21</v>
      </c>
      <c r="C169">
        <v>1781717.71</v>
      </c>
      <c r="D169">
        <v>0</v>
      </c>
      <c r="F169">
        <v>2.6080000000000001</v>
      </c>
      <c r="G169">
        <v>210.89213190000001</v>
      </c>
      <c r="H169">
        <v>8.0990000000000002</v>
      </c>
    </row>
    <row r="170" spans="1:8" x14ac:dyDescent="0.3">
      <c r="A170">
        <v>2</v>
      </c>
      <c r="B170" t="s">
        <v>22</v>
      </c>
      <c r="C170" t="s">
        <v>108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3">
      <c r="A171">
        <v>2</v>
      </c>
      <c r="B171" s="1">
        <v>40337</v>
      </c>
      <c r="C171">
        <v>1991909.98</v>
      </c>
      <c r="D171">
        <v>0</v>
      </c>
      <c r="E171">
        <v>-89.53</v>
      </c>
      <c r="F171">
        <v>2.6269999999999998</v>
      </c>
      <c r="G171">
        <v>211.16080489999999</v>
      </c>
      <c r="H171">
        <v>8.0990000000000002</v>
      </c>
    </row>
    <row r="172" spans="1:8" x14ac:dyDescent="0.3">
      <c r="A172">
        <v>2</v>
      </c>
      <c r="B172" t="s">
        <v>23</v>
      </c>
      <c r="C172">
        <v>1895601.05</v>
      </c>
      <c r="D172">
        <v>0</v>
      </c>
      <c r="F172">
        <v>2.6920000000000002</v>
      </c>
      <c r="G172">
        <v>211.29514130000001</v>
      </c>
    </row>
    <row r="173" spans="1:8" x14ac:dyDescent="0.3">
      <c r="A173">
        <v>2</v>
      </c>
      <c r="B173" t="s">
        <v>24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3">
      <c r="A174">
        <v>2</v>
      </c>
      <c r="B174" t="s">
        <v>25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3">
      <c r="A175">
        <v>2</v>
      </c>
      <c r="B175" s="1">
        <v>40246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3">
      <c r="A176">
        <v>2</v>
      </c>
      <c r="B176" s="1">
        <v>40460</v>
      </c>
      <c r="C176">
        <v>1839128.83</v>
      </c>
      <c r="D176" t="s">
        <v>103</v>
      </c>
      <c r="F176">
        <v>2.5649999999999999</v>
      </c>
      <c r="H176">
        <v>8.0990000000000002</v>
      </c>
    </row>
    <row r="177" spans="1:8" x14ac:dyDescent="0.3">
      <c r="A177">
        <v>2</v>
      </c>
      <c r="B177" t="s">
        <v>26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3">
      <c r="A178">
        <v>2</v>
      </c>
      <c r="B178" t="s">
        <v>27</v>
      </c>
      <c r="C178">
        <v>1724557.22</v>
      </c>
      <c r="D178">
        <v>0</v>
      </c>
      <c r="F178">
        <v>2.6240000000000001</v>
      </c>
      <c r="H178">
        <v>8.0990000000000002</v>
      </c>
    </row>
    <row r="179" spans="1:8" x14ac:dyDescent="0.3">
      <c r="A179">
        <v>2</v>
      </c>
      <c r="B179" s="1">
        <v>40188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3">
      <c r="A180">
        <v>2</v>
      </c>
      <c r="B180" s="1">
        <v>40400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3">
      <c r="A181">
        <v>2</v>
      </c>
      <c r="B181" t="s">
        <v>28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3">
      <c r="A182">
        <v>2</v>
      </c>
      <c r="B182" t="s">
        <v>29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3">
      <c r="A183">
        <v>2</v>
      </c>
      <c r="B183" t="s">
        <v>30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3">
      <c r="A184">
        <v>2</v>
      </c>
      <c r="B184" s="1">
        <v>40309</v>
      </c>
      <c r="C184">
        <v>1939061.41</v>
      </c>
      <c r="D184">
        <v>0</v>
      </c>
      <c r="E184">
        <v>57.85</v>
      </c>
      <c r="G184">
        <v>211.61350530000001</v>
      </c>
      <c r="H184">
        <v>8.1630000000000003</v>
      </c>
    </row>
    <row r="185" spans="1:8" x14ac:dyDescent="0.3">
      <c r="A185">
        <v>2</v>
      </c>
      <c r="B185" s="1">
        <v>40523</v>
      </c>
      <c r="C185">
        <v>1916812.74</v>
      </c>
      <c r="D185">
        <v>0</v>
      </c>
      <c r="E185">
        <v>59.69</v>
      </c>
      <c r="F185">
        <v>-2.7280000000000002</v>
      </c>
      <c r="G185">
        <v>211.6608975</v>
      </c>
      <c r="H185">
        <v>8.1630000000000003</v>
      </c>
    </row>
    <row r="186" spans="1:8" x14ac:dyDescent="0.3">
      <c r="A186">
        <v>2</v>
      </c>
      <c r="B186" t="s">
        <v>31</v>
      </c>
      <c r="C186">
        <v>1956739.17</v>
      </c>
      <c r="D186">
        <v>0</v>
      </c>
      <c r="E186" t="s">
        <v>109</v>
      </c>
      <c r="F186">
        <v>2.7709999999999999</v>
      </c>
      <c r="G186">
        <v>211.54703040000001</v>
      </c>
      <c r="H186">
        <v>8.1630000000000003</v>
      </c>
    </row>
    <row r="187" spans="1:8" x14ac:dyDescent="0.3">
      <c r="A187">
        <v>2</v>
      </c>
      <c r="B187" t="s">
        <v>32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3">
      <c r="A188">
        <v>2</v>
      </c>
      <c r="B188" s="1">
        <v>40249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3">
      <c r="A189">
        <v>2</v>
      </c>
      <c r="B189" s="1">
        <v>40463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3">
      <c r="A190">
        <v>2</v>
      </c>
      <c r="B190" t="s">
        <v>33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3">
      <c r="A191">
        <v>2</v>
      </c>
      <c r="B191" t="s">
        <v>34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3">
      <c r="A192">
        <v>2</v>
      </c>
      <c r="B192" t="s">
        <v>35</v>
      </c>
      <c r="C192">
        <v>1750434.55</v>
      </c>
      <c r="D192">
        <v>1</v>
      </c>
      <c r="E192">
        <v>47.3</v>
      </c>
      <c r="H192">
        <v>8.1630000000000003</v>
      </c>
    </row>
    <row r="193" spans="1:8" x14ac:dyDescent="0.3">
      <c r="A193">
        <v>2</v>
      </c>
      <c r="B193" s="1">
        <v>40725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3">
      <c r="A194">
        <v>2</v>
      </c>
      <c r="B194" t="s">
        <v>36</v>
      </c>
      <c r="C194">
        <v>1744193.58</v>
      </c>
      <c r="D194">
        <v>0</v>
      </c>
      <c r="E194" t="s">
        <v>110</v>
      </c>
      <c r="F194">
        <v>2.9830000000000001</v>
      </c>
      <c r="G194">
        <v>211.11767130000001</v>
      </c>
      <c r="H194">
        <v>8.0280000000000005</v>
      </c>
    </row>
    <row r="195" spans="1:8" x14ac:dyDescent="0.3">
      <c r="A195">
        <v>2</v>
      </c>
      <c r="B195" t="s">
        <v>37</v>
      </c>
      <c r="C195">
        <v>1751384.9</v>
      </c>
      <c r="D195">
        <v>0</v>
      </c>
      <c r="E195">
        <v>41.4</v>
      </c>
      <c r="G195">
        <v>211.48646909999999</v>
      </c>
    </row>
    <row r="196" spans="1:8" x14ac:dyDescent="0.3">
      <c r="A196">
        <v>2</v>
      </c>
      <c r="B196" t="s">
        <v>38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3">
      <c r="A197">
        <v>2</v>
      </c>
      <c r="B197" s="1">
        <v>40635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3">
      <c r="A198">
        <v>2</v>
      </c>
      <c r="B198" s="1">
        <v>40849</v>
      </c>
      <c r="C198">
        <v>2168041.61</v>
      </c>
      <c r="D198" t="s">
        <v>100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3">
      <c r="A199">
        <v>2</v>
      </c>
      <c r="B199" t="s">
        <v>39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3">
      <c r="A200">
        <v>2</v>
      </c>
      <c r="B200" t="s">
        <v>40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3">
      <c r="A201">
        <v>2</v>
      </c>
      <c r="B201" s="1">
        <v>40636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3">
      <c r="A202">
        <v>2</v>
      </c>
      <c r="B202" s="1">
        <v>40850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3">
      <c r="A203">
        <v>2</v>
      </c>
      <c r="B203" t="s">
        <v>41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3">
      <c r="A204">
        <v>2</v>
      </c>
      <c r="B204" t="s">
        <v>42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3">
      <c r="A205">
        <v>2</v>
      </c>
      <c r="B205" s="1">
        <v>40547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3">
      <c r="A206">
        <v>2</v>
      </c>
      <c r="B206" s="1">
        <v>40759</v>
      </c>
      <c r="C206">
        <v>1847552.61</v>
      </c>
      <c r="D206">
        <v>0</v>
      </c>
      <c r="E206" t="s">
        <v>111</v>
      </c>
      <c r="F206">
        <v>3.6219999999999999</v>
      </c>
      <c r="G206">
        <v>214.72522420000001</v>
      </c>
      <c r="H206">
        <v>7.931</v>
      </c>
    </row>
    <row r="207" spans="1:8" x14ac:dyDescent="0.3">
      <c r="A207">
        <v>2</v>
      </c>
      <c r="B207" t="s">
        <v>43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3">
      <c r="A208">
        <v>2</v>
      </c>
      <c r="B208" t="s">
        <v>44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3">
      <c r="A209">
        <v>2</v>
      </c>
      <c r="B209" t="s">
        <v>45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3">
      <c r="A210">
        <v>2</v>
      </c>
      <c r="B210" s="1">
        <v>40699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3">
      <c r="A211">
        <v>2</v>
      </c>
      <c r="B211" t="s">
        <v>46</v>
      </c>
      <c r="C211">
        <v>1838513.07</v>
      </c>
      <c r="D211">
        <v>0</v>
      </c>
      <c r="E211" t="s">
        <v>111</v>
      </c>
      <c r="F211">
        <v>3.899</v>
      </c>
      <c r="G211">
        <v>215.61247349999999</v>
      </c>
      <c r="H211">
        <v>7.931</v>
      </c>
    </row>
    <row r="212" spans="1:8" x14ac:dyDescent="0.3">
      <c r="A212">
        <v>2</v>
      </c>
      <c r="B212" t="s">
        <v>47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3">
      <c r="A213">
        <v>2</v>
      </c>
      <c r="B213" t="s">
        <v>48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3">
      <c r="A214">
        <v>2</v>
      </c>
      <c r="B214" s="1">
        <v>40608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3">
      <c r="A215">
        <v>2</v>
      </c>
      <c r="B215" s="1">
        <v>40822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3">
      <c r="A216">
        <v>2</v>
      </c>
      <c r="B216" t="s">
        <v>49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3">
      <c r="A217">
        <v>2</v>
      </c>
      <c r="B217" t="s">
        <v>50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3">
      <c r="A218">
        <v>2</v>
      </c>
      <c r="B218" s="1">
        <v>40550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3">
      <c r="A219">
        <v>2</v>
      </c>
      <c r="B219" s="1">
        <v>40762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3">
      <c r="A220">
        <v>2</v>
      </c>
      <c r="B220" t="s">
        <v>51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3">
      <c r="A221">
        <v>2</v>
      </c>
      <c r="B221" t="s">
        <v>52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3">
      <c r="A222">
        <v>2</v>
      </c>
      <c r="B222" t="s">
        <v>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3">
      <c r="A223">
        <v>2</v>
      </c>
      <c r="B223" s="1">
        <v>40671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3">
      <c r="A224">
        <v>2</v>
      </c>
      <c r="B224" s="1">
        <v>40885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3">
      <c r="A225">
        <v>2</v>
      </c>
      <c r="B225" t="s">
        <v>54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3">
      <c r="A226">
        <v>2</v>
      </c>
      <c r="B226" t="s">
        <v>55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3">
      <c r="A227">
        <v>2</v>
      </c>
      <c r="B227" s="1">
        <v>40583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3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3">
      <c r="A229">
        <v>2</v>
      </c>
      <c r="B229" t="s">
        <v>56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3">
      <c r="A230">
        <v>2</v>
      </c>
      <c r="B230" t="s">
        <v>57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3">
      <c r="A231">
        <v>2</v>
      </c>
      <c r="B231" t="s">
        <v>58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3">
      <c r="A232">
        <v>2</v>
      </c>
      <c r="B232" s="1">
        <v>40734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3">
      <c r="A233">
        <v>2</v>
      </c>
      <c r="B233" t="s">
        <v>59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3">
      <c r="A234">
        <v>2</v>
      </c>
      <c r="B234" t="s">
        <v>60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3">
      <c r="A235">
        <v>2</v>
      </c>
      <c r="B235" t="s">
        <v>61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3">
      <c r="A236">
        <v>2</v>
      </c>
      <c r="B236" s="1">
        <v>40644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3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3">
      <c r="A238">
        <v>2</v>
      </c>
      <c r="B238" t="s">
        <v>62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3">
      <c r="A239">
        <v>2</v>
      </c>
      <c r="B239" t="s">
        <v>63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3">
      <c r="A240">
        <v>2</v>
      </c>
      <c r="B240" s="1">
        <v>40586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3">
      <c r="A241">
        <v>2</v>
      </c>
      <c r="B241" s="1">
        <v>40798</v>
      </c>
      <c r="C241">
        <v>2290549.3199999998</v>
      </c>
      <c r="D241">
        <v>0</v>
      </c>
      <c r="E241" t="s">
        <v>112</v>
      </c>
      <c r="F241">
        <v>3.1579999999999999</v>
      </c>
      <c r="G241">
        <v>218.60503700000001</v>
      </c>
      <c r="H241">
        <v>7.4409999999999998</v>
      </c>
    </row>
    <row r="242" spans="1:8" x14ac:dyDescent="0.3">
      <c r="A242">
        <v>2</v>
      </c>
      <c r="B242" t="s">
        <v>64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3">
      <c r="A243">
        <v>2</v>
      </c>
      <c r="B243" t="s">
        <v>65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3">
      <c r="A244">
        <v>2</v>
      </c>
      <c r="B244" t="s">
        <v>66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3">
      <c r="A245">
        <v>2</v>
      </c>
      <c r="B245" s="1">
        <v>41061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3">
      <c r="A246">
        <v>2</v>
      </c>
      <c r="B246" t="s">
        <v>67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3">
      <c r="A247">
        <v>2</v>
      </c>
      <c r="B247" t="s">
        <v>68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3">
      <c r="A248">
        <v>2</v>
      </c>
      <c r="B248" t="s">
        <v>69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3">
      <c r="A249">
        <v>2</v>
      </c>
      <c r="B249" s="1">
        <v>40970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3">
      <c r="A250">
        <v>2</v>
      </c>
      <c r="B250" s="1">
        <v>41184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3">
      <c r="A251">
        <v>2</v>
      </c>
      <c r="B251" t="s">
        <v>70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3">
      <c r="A252">
        <v>2</v>
      </c>
      <c r="B252" t="s">
        <v>71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3">
      <c r="A253">
        <v>2</v>
      </c>
      <c r="B253" s="1">
        <v>40942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3">
      <c r="A254">
        <v>2</v>
      </c>
      <c r="B254" s="1">
        <v>41155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3">
      <c r="A255">
        <v>2</v>
      </c>
      <c r="B255" t="s">
        <v>72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3">
      <c r="A256">
        <v>2</v>
      </c>
      <c r="B256" t="s">
        <v>73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3">
      <c r="A257">
        <v>2</v>
      </c>
      <c r="B257" t="s">
        <v>74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3">
      <c r="A258">
        <v>2</v>
      </c>
      <c r="B258" s="1">
        <v>41064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3">
      <c r="A259">
        <v>2</v>
      </c>
      <c r="B259" t="s">
        <v>75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3">
      <c r="A260">
        <v>2</v>
      </c>
      <c r="B260" t="s">
        <v>76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3">
      <c r="A261">
        <v>2</v>
      </c>
      <c r="B261" t="s">
        <v>77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3">
      <c r="A262">
        <v>2</v>
      </c>
      <c r="B262" s="1">
        <v>41004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3">
      <c r="A263">
        <v>2</v>
      </c>
      <c r="B263" s="1">
        <v>41218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3">
      <c r="A264">
        <v>2</v>
      </c>
      <c r="B264" t="s">
        <v>78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3">
      <c r="A265">
        <v>2</v>
      </c>
      <c r="B265" t="s">
        <v>79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3">
      <c r="A266">
        <v>2</v>
      </c>
      <c r="B266" s="1">
        <v>40914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3">
      <c r="A267">
        <v>2</v>
      </c>
      <c r="B267" s="1">
        <v>41127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3">
      <c r="A268">
        <v>2</v>
      </c>
      <c r="B268" t="s">
        <v>80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3">
      <c r="A269">
        <v>2</v>
      </c>
      <c r="B269" t="s">
        <v>81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3">
      <c r="A270">
        <v>2</v>
      </c>
      <c r="B270" t="s">
        <v>82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3">
      <c r="A271">
        <v>2</v>
      </c>
      <c r="B271" s="1">
        <v>41067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3">
      <c r="A272">
        <v>2</v>
      </c>
      <c r="B272" t="s">
        <v>83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3">
      <c r="A273">
        <v>2</v>
      </c>
      <c r="B273" t="s">
        <v>84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3">
      <c r="A274">
        <v>2</v>
      </c>
      <c r="B274" t="s">
        <v>85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3">
      <c r="A275">
        <v>2</v>
      </c>
      <c r="B275" s="1">
        <v>40976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3">
      <c r="A276">
        <v>2</v>
      </c>
      <c r="B276" s="1">
        <v>41190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3">
      <c r="A277">
        <v>2</v>
      </c>
      <c r="B277" t="s">
        <v>86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3">
      <c r="A278">
        <v>2</v>
      </c>
      <c r="B278" t="s">
        <v>87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3">
      <c r="A279">
        <v>2</v>
      </c>
      <c r="B279" t="s">
        <v>88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3">
      <c r="A280">
        <v>2</v>
      </c>
      <c r="B280" s="1">
        <v>41099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3">
      <c r="A281">
        <v>2</v>
      </c>
      <c r="B281" t="s">
        <v>89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3">
      <c r="A282">
        <v>2</v>
      </c>
      <c r="B282" t="s">
        <v>90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3">
      <c r="A283">
        <v>2</v>
      </c>
      <c r="B283" t="s">
        <v>91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3">
      <c r="A284">
        <v>2</v>
      </c>
      <c r="B284" s="1">
        <v>41039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3">
      <c r="A285">
        <v>2</v>
      </c>
      <c r="B285" s="1">
        <v>41253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3">
      <c r="A286">
        <v>2</v>
      </c>
      <c r="B286" t="s">
        <v>92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3">
      <c r="A287">
        <v>2</v>
      </c>
      <c r="B287" t="s">
        <v>93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3">
      <c r="A288">
        <v>3</v>
      </c>
      <c r="B288" s="1">
        <v>40300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3">
      <c r="A289">
        <v>3</v>
      </c>
      <c r="B289" s="1">
        <v>40514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3">
      <c r="A290">
        <v>3</v>
      </c>
      <c r="B290" t="s">
        <v>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3">
      <c r="A291">
        <v>3</v>
      </c>
      <c r="B291" t="s">
        <v>9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3">
      <c r="A292">
        <v>3</v>
      </c>
      <c r="B292" s="1">
        <v>40301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3">
      <c r="A293">
        <v>3</v>
      </c>
      <c r="B293" s="1">
        <v>40515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3">
      <c r="A294">
        <v>3</v>
      </c>
      <c r="B294" t="s">
        <v>10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3">
      <c r="A295">
        <v>3</v>
      </c>
      <c r="B295" t="s">
        <v>11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3">
      <c r="A296">
        <v>3</v>
      </c>
      <c r="B296" s="1">
        <v>40213</v>
      </c>
      <c r="C296">
        <v>423294.4</v>
      </c>
      <c r="D296">
        <v>0</v>
      </c>
      <c r="E296">
        <v>65.56</v>
      </c>
      <c r="F296" t="s">
        <v>114</v>
      </c>
      <c r="G296">
        <v>214.1180803</v>
      </c>
      <c r="H296">
        <v>7.343</v>
      </c>
    </row>
    <row r="297" spans="1:8" x14ac:dyDescent="0.3">
      <c r="A297">
        <v>3</v>
      </c>
      <c r="B297" s="1">
        <v>40425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3">
      <c r="A298">
        <v>3</v>
      </c>
      <c r="B298" t="s">
        <v>12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3">
      <c r="A299">
        <v>3</v>
      </c>
      <c r="B299" t="s">
        <v>13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3">
      <c r="A300">
        <v>3</v>
      </c>
      <c r="B300" t="s">
        <v>14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3">
      <c r="A301">
        <v>3</v>
      </c>
      <c r="B301" s="1">
        <v>40364</v>
      </c>
      <c r="C301">
        <v>399323.86</v>
      </c>
      <c r="D301">
        <v>0</v>
      </c>
      <c r="E301">
        <v>73.47</v>
      </c>
      <c r="F301">
        <v>3</v>
      </c>
      <c r="G301">
        <v>213.6211778</v>
      </c>
      <c r="H301">
        <v>7.343</v>
      </c>
    </row>
    <row r="302" spans="1:8" x14ac:dyDescent="0.3">
      <c r="A302">
        <v>3</v>
      </c>
      <c r="B302" t="s">
        <v>15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3">
      <c r="A303">
        <v>3</v>
      </c>
      <c r="B303" t="s">
        <v>16</v>
      </c>
      <c r="C303">
        <v>343763.17</v>
      </c>
      <c r="D303">
        <v>0</v>
      </c>
      <c r="F303">
        <v>2.8260000000000001</v>
      </c>
      <c r="G303">
        <v>213.91168859999999</v>
      </c>
      <c r="H303">
        <v>7.343</v>
      </c>
    </row>
    <row r="304" spans="1:8" x14ac:dyDescent="0.3">
      <c r="A304">
        <v>3</v>
      </c>
      <c r="B304" t="s">
        <v>17</v>
      </c>
      <c r="C304">
        <v>350089.23</v>
      </c>
      <c r="D304">
        <v>0</v>
      </c>
      <c r="E304">
        <v>78.599999999999994</v>
      </c>
      <c r="G304">
        <v>214.20376340000001</v>
      </c>
    </row>
    <row r="305" spans="1:8" x14ac:dyDescent="0.3">
      <c r="A305">
        <v>3</v>
      </c>
      <c r="B305" s="1">
        <v>40274</v>
      </c>
      <c r="C305">
        <v>396968.8</v>
      </c>
      <c r="D305">
        <v>0</v>
      </c>
      <c r="E305">
        <v>78.53</v>
      </c>
      <c r="F305" t="s">
        <v>113</v>
      </c>
      <c r="G305">
        <v>214.49583820000001</v>
      </c>
      <c r="H305">
        <v>7.343</v>
      </c>
    </row>
    <row r="306" spans="1:8" x14ac:dyDescent="0.3">
      <c r="A306">
        <v>3</v>
      </c>
      <c r="B306" s="1">
        <v>40488</v>
      </c>
      <c r="C306">
        <v>355017.09</v>
      </c>
      <c r="D306">
        <v>0</v>
      </c>
      <c r="E306">
        <v>82.1</v>
      </c>
      <c r="G306">
        <v>214.787913</v>
      </c>
      <c r="H306">
        <v>7.343</v>
      </c>
    </row>
    <row r="307" spans="1:8" x14ac:dyDescent="0.3">
      <c r="A307">
        <v>3</v>
      </c>
      <c r="B307" t="s">
        <v>18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3">
      <c r="A308">
        <v>3</v>
      </c>
      <c r="B308" t="s">
        <v>19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3">
      <c r="A309">
        <v>3</v>
      </c>
      <c r="B309" s="1">
        <v>40216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3">
      <c r="A310">
        <v>3</v>
      </c>
      <c r="B310" s="1">
        <v>40428</v>
      </c>
      <c r="C310">
        <v>349214.18</v>
      </c>
      <c r="D310">
        <v>0</v>
      </c>
      <c r="F310">
        <v>2.6419999999999999</v>
      </c>
      <c r="G310">
        <v>214.4265704</v>
      </c>
      <c r="H310">
        <v>7.3460000000000001</v>
      </c>
    </row>
    <row r="311" spans="1:8" x14ac:dyDescent="0.3">
      <c r="A311">
        <v>3</v>
      </c>
      <c r="B311" t="s">
        <v>20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3">
      <c r="A312">
        <v>3</v>
      </c>
      <c r="B312" t="s">
        <v>21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3">
      <c r="A313">
        <v>3</v>
      </c>
      <c r="B313" t="s">
        <v>22</v>
      </c>
      <c r="C313">
        <v>347955.05</v>
      </c>
      <c r="D313">
        <v>0</v>
      </c>
      <c r="F313">
        <v>2.64</v>
      </c>
      <c r="G313">
        <v>214.695346</v>
      </c>
      <c r="H313">
        <v>7.3460000000000001</v>
      </c>
    </row>
    <row r="314" spans="1:8" x14ac:dyDescent="0.3">
      <c r="A314">
        <v>3</v>
      </c>
      <c r="B314" s="1">
        <v>40337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3">
      <c r="A315">
        <v>3</v>
      </c>
      <c r="B315" t="s">
        <v>23</v>
      </c>
      <c r="C315">
        <v>339597.38</v>
      </c>
      <c r="D315">
        <v>0</v>
      </c>
      <c r="E315">
        <v>86.74</v>
      </c>
      <c r="F315">
        <v>2.6920000000000002</v>
      </c>
    </row>
    <row r="316" spans="1:8" x14ac:dyDescent="0.3">
      <c r="A316">
        <v>3</v>
      </c>
      <c r="B316" t="s">
        <v>24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3">
      <c r="A317">
        <v>3</v>
      </c>
      <c r="B317" t="s">
        <v>25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3">
      <c r="A318">
        <v>3</v>
      </c>
      <c r="B318" s="1">
        <v>40246</v>
      </c>
      <c r="C318">
        <v>366473.97</v>
      </c>
      <c r="D318">
        <v>0</v>
      </c>
      <c r="E318">
        <v>84.16</v>
      </c>
      <c r="F318">
        <v>-2.577</v>
      </c>
      <c r="G318">
        <v>214.84816850000001</v>
      </c>
    </row>
    <row r="319" spans="1:8" x14ac:dyDescent="0.3">
      <c r="A319">
        <v>3</v>
      </c>
      <c r="B319" s="1">
        <v>40460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3">
      <c r="A320">
        <v>3</v>
      </c>
      <c r="B320" t="s">
        <v>26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3">
      <c r="A321">
        <v>3</v>
      </c>
      <c r="B321" t="s">
        <v>27</v>
      </c>
      <c r="C321">
        <v>355626.87</v>
      </c>
      <c r="D321">
        <v>0</v>
      </c>
      <c r="E321">
        <v>76.900000000000006</v>
      </c>
      <c r="G321">
        <v>214.90845160000001</v>
      </c>
      <c r="H321">
        <v>7.3460000000000001</v>
      </c>
    </row>
    <row r="322" spans="1:8" x14ac:dyDescent="0.3">
      <c r="A322">
        <v>3</v>
      </c>
      <c r="B322" s="1">
        <v>40188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</row>
    <row r="323" spans="1:8" x14ac:dyDescent="0.3">
      <c r="A323">
        <v>3</v>
      </c>
      <c r="B323" s="1">
        <v>40400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3">
      <c r="A324">
        <v>3</v>
      </c>
      <c r="B324" t="s">
        <v>28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3">
      <c r="A325">
        <v>3</v>
      </c>
      <c r="B325" t="s">
        <v>29</v>
      </c>
      <c r="C325">
        <v>348895.98</v>
      </c>
      <c r="D325">
        <v>0</v>
      </c>
      <c r="E325">
        <v>71.64</v>
      </c>
      <c r="G325">
        <v>215.17839000000001</v>
      </c>
      <c r="H325">
        <v>7.5640000000000001</v>
      </c>
    </row>
    <row r="326" spans="1:8" x14ac:dyDescent="0.3">
      <c r="A326">
        <v>3</v>
      </c>
      <c r="B326" t="s">
        <v>30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</row>
    <row r="327" spans="1:8" x14ac:dyDescent="0.3">
      <c r="A327">
        <v>3</v>
      </c>
      <c r="B327" s="1">
        <v>40309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3">
      <c r="A328">
        <v>3</v>
      </c>
      <c r="B328" s="1">
        <v>40523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3">
      <c r="A329">
        <v>3</v>
      </c>
      <c r="B329" t="s">
        <v>31</v>
      </c>
      <c r="C329">
        <v>372545.32</v>
      </c>
      <c r="D329">
        <v>0</v>
      </c>
      <c r="E329">
        <v>57.72</v>
      </c>
      <c r="G329">
        <v>215.2074519</v>
      </c>
      <c r="H329">
        <v>7.5640000000000001</v>
      </c>
    </row>
    <row r="330" spans="1:8" x14ac:dyDescent="0.3">
      <c r="A330">
        <v>3</v>
      </c>
      <c r="B330" t="s">
        <v>32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3">
      <c r="A331">
        <v>3</v>
      </c>
      <c r="B331" s="1">
        <v>40249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</row>
    <row r="332" spans="1:8" x14ac:dyDescent="0.3">
      <c r="A332">
        <v>3</v>
      </c>
      <c r="B332" s="1">
        <v>40463</v>
      </c>
      <c r="C332">
        <v>467642.03</v>
      </c>
      <c r="D332">
        <v>0</v>
      </c>
      <c r="E332">
        <v>51.13</v>
      </c>
      <c r="F332">
        <v>-2.843</v>
      </c>
      <c r="G332">
        <v>214.76930369999999</v>
      </c>
      <c r="H332">
        <v>7.5640000000000001</v>
      </c>
    </row>
    <row r="333" spans="1:8" x14ac:dyDescent="0.3">
      <c r="A333">
        <v>3</v>
      </c>
      <c r="B333" t="s">
        <v>33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3">
      <c r="A334">
        <v>3</v>
      </c>
      <c r="B334" t="s">
        <v>34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3">
      <c r="A335">
        <v>3</v>
      </c>
      <c r="B335" t="s">
        <v>35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3">
      <c r="A336">
        <v>3</v>
      </c>
      <c r="B336" s="1">
        <v>40725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3">
      <c r="A337">
        <v>3</v>
      </c>
      <c r="B337" t="s">
        <v>36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3">
      <c r="A338">
        <v>3</v>
      </c>
      <c r="B338" t="s">
        <v>37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3">
      <c r="A339">
        <v>3</v>
      </c>
      <c r="B339" t="s">
        <v>38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3">
      <c r="A340">
        <v>3</v>
      </c>
      <c r="B340" s="1">
        <v>40635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3">
      <c r="A341">
        <v>3</v>
      </c>
      <c r="B341" s="1">
        <v>40849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3">
      <c r="A342">
        <v>3</v>
      </c>
      <c r="B342" t="s">
        <v>39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3">
      <c r="A343">
        <v>3</v>
      </c>
      <c r="B343" t="s">
        <v>40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3">
      <c r="A344">
        <v>3</v>
      </c>
      <c r="B344" s="1">
        <v>40636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3">
      <c r="A345">
        <v>3</v>
      </c>
      <c r="B345" s="1">
        <v>40850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3">
      <c r="A346">
        <v>3</v>
      </c>
      <c r="B346" t="s">
        <v>41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3">
      <c r="A347">
        <v>3</v>
      </c>
      <c r="B347" t="s">
        <v>42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3">
      <c r="A348">
        <v>3</v>
      </c>
      <c r="B348" s="1">
        <v>40547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3">
      <c r="A349">
        <v>3</v>
      </c>
      <c r="B349" s="1">
        <v>40759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3">
      <c r="A350">
        <v>3</v>
      </c>
      <c r="B350" t="s">
        <v>43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3">
      <c r="A351">
        <v>3</v>
      </c>
      <c r="B351" t="s">
        <v>44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3">
      <c r="A352">
        <v>3</v>
      </c>
      <c r="B352" t="s">
        <v>45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3">
      <c r="A353">
        <v>3</v>
      </c>
      <c r="B353" s="1">
        <v>40699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3">
      <c r="A354">
        <v>3</v>
      </c>
      <c r="B354" t="s">
        <v>46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3">
      <c r="A355">
        <v>3</v>
      </c>
      <c r="B355" t="s">
        <v>47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3">
      <c r="A356">
        <v>3</v>
      </c>
      <c r="B356" t="s">
        <v>48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3">
      <c r="A357">
        <v>3</v>
      </c>
      <c r="B357" s="1">
        <v>40608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3">
      <c r="A358">
        <v>3</v>
      </c>
      <c r="B358" s="1">
        <v>40822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3">
      <c r="A359">
        <v>3</v>
      </c>
      <c r="B359" t="s">
        <v>49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3">
      <c r="A360">
        <v>3</v>
      </c>
      <c r="B360" t="s">
        <v>50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3">
      <c r="A361">
        <v>3</v>
      </c>
      <c r="B361" s="1">
        <v>40550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3">
      <c r="A362">
        <v>3</v>
      </c>
      <c r="B362" s="1">
        <v>40762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3">
      <c r="A363">
        <v>3</v>
      </c>
      <c r="B363" t="s">
        <v>51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3">
      <c r="A364">
        <v>3</v>
      </c>
      <c r="B364" t="s">
        <v>52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3">
      <c r="A365">
        <v>3</v>
      </c>
      <c r="B365" t="s">
        <v>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3">
      <c r="A366">
        <v>3</v>
      </c>
      <c r="B366" s="1">
        <v>40671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3">
      <c r="A367">
        <v>3</v>
      </c>
      <c r="B367" s="1">
        <v>40885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3">
      <c r="A368">
        <v>3</v>
      </c>
      <c r="B368" t="s">
        <v>54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3">
      <c r="A369">
        <v>3</v>
      </c>
      <c r="B369" t="s">
        <v>55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3">
      <c r="A370">
        <v>3</v>
      </c>
      <c r="B370" s="1">
        <v>40583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3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3">
      <c r="A372">
        <v>3</v>
      </c>
      <c r="B372" t="s">
        <v>56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3">
      <c r="A373">
        <v>3</v>
      </c>
      <c r="B373" t="s">
        <v>57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3">
      <c r="A374">
        <v>3</v>
      </c>
      <c r="B374" t="s">
        <v>58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3">
      <c r="A375">
        <v>3</v>
      </c>
      <c r="B375" s="1">
        <v>40734</v>
      </c>
      <c r="C375">
        <v>403342.4</v>
      </c>
      <c r="D375">
        <v>0</v>
      </c>
      <c r="E375">
        <v>75.540000000000006</v>
      </c>
      <c r="F375">
        <v>-3.2850000000000001</v>
      </c>
      <c r="G375">
        <v>220.42990069999999</v>
      </c>
      <c r="H375">
        <v>7.1970000000000001</v>
      </c>
    </row>
    <row r="376" spans="1:8" x14ac:dyDescent="0.3">
      <c r="A376">
        <v>3</v>
      </c>
      <c r="B376" t="s">
        <v>59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3">
      <c r="A377">
        <v>3</v>
      </c>
      <c r="B377" t="s">
        <v>60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3">
      <c r="A378">
        <v>3</v>
      </c>
      <c r="B378" t="s">
        <v>61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3">
      <c r="A379">
        <v>3</v>
      </c>
      <c r="B379" s="1">
        <v>40644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3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3">
      <c r="A381">
        <v>3</v>
      </c>
      <c r="B381" t="s">
        <v>62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3">
      <c r="A382">
        <v>3</v>
      </c>
      <c r="B382" t="s">
        <v>63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3">
      <c r="A383">
        <v>3</v>
      </c>
      <c r="B383" s="1">
        <v>40586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3">
      <c r="A384">
        <v>3</v>
      </c>
      <c r="B384" s="1">
        <v>40798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3">
      <c r="A385">
        <v>3</v>
      </c>
      <c r="B385" t="s">
        <v>64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3">
      <c r="A386">
        <v>3</v>
      </c>
      <c r="B386" t="s">
        <v>65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3">
      <c r="A387">
        <v>3</v>
      </c>
      <c r="B387" t="s">
        <v>66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3">
      <c r="A388">
        <v>3</v>
      </c>
      <c r="B388" s="1">
        <v>41061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3">
      <c r="A389">
        <v>3</v>
      </c>
      <c r="B389" t="s">
        <v>67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3">
      <c r="A390">
        <v>3</v>
      </c>
      <c r="B390" t="s">
        <v>68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3">
      <c r="A391">
        <v>3</v>
      </c>
      <c r="B391" t="s">
        <v>69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3">
      <c r="A392">
        <v>3</v>
      </c>
      <c r="B392" s="1">
        <v>40970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3">
      <c r="A393">
        <v>3</v>
      </c>
      <c r="B393" s="1">
        <v>41184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3">
      <c r="A394">
        <v>3</v>
      </c>
      <c r="B394" t="s">
        <v>70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3">
      <c r="A395">
        <v>3</v>
      </c>
      <c r="B395" t="s">
        <v>71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3">
      <c r="A396">
        <v>3</v>
      </c>
      <c r="B396" s="1">
        <v>40942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3">
      <c r="A397">
        <v>3</v>
      </c>
      <c r="B397" s="1">
        <v>41155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3">
      <c r="A398">
        <v>3</v>
      </c>
      <c r="B398" t="s">
        <v>72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3">
      <c r="A399">
        <v>3</v>
      </c>
      <c r="B399" t="s">
        <v>73</v>
      </c>
      <c r="C399">
        <v>413907.25</v>
      </c>
      <c r="D399">
        <v>0</v>
      </c>
      <c r="E399">
        <v>66.53</v>
      </c>
      <c r="F399" t="s">
        <v>113</v>
      </c>
      <c r="G399">
        <v>224.7909104</v>
      </c>
      <c r="H399">
        <v>6.8330000000000002</v>
      </c>
    </row>
    <row r="400" spans="1:8" x14ac:dyDescent="0.3">
      <c r="A400">
        <v>3</v>
      </c>
      <c r="B400" t="s">
        <v>74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3">
      <c r="A401">
        <v>3</v>
      </c>
      <c r="B401" s="1">
        <v>41064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3">
      <c r="A402">
        <v>1</v>
      </c>
      <c r="B402" s="1">
        <v>40976</v>
      </c>
      <c r="C402">
        <v>1631135.79</v>
      </c>
      <c r="D402">
        <v>0</v>
      </c>
      <c r="E402">
        <v>86.11</v>
      </c>
      <c r="F402">
        <v>3.4169999999999998</v>
      </c>
      <c r="G402">
        <v>221.94986420000001</v>
      </c>
      <c r="H402">
        <v>6.9080000000000004</v>
      </c>
    </row>
    <row r="403" spans="1:8" x14ac:dyDescent="0.3">
      <c r="A403">
        <v>1</v>
      </c>
      <c r="B403" s="1">
        <v>41190</v>
      </c>
      <c r="C403">
        <v>1592409.97</v>
      </c>
      <c r="D403">
        <v>0</v>
      </c>
      <c r="E403">
        <v>85.05</v>
      </c>
      <c r="F403">
        <v>3.4940000000000002</v>
      </c>
      <c r="G403">
        <v>221.95843289999999</v>
      </c>
      <c r="H403">
        <v>6.9080000000000004</v>
      </c>
    </row>
    <row r="404" spans="1:8" x14ac:dyDescent="0.3">
      <c r="A404">
        <v>1</v>
      </c>
      <c r="B404" t="s">
        <v>86</v>
      </c>
      <c r="C404">
        <v>1597868.05</v>
      </c>
      <c r="D404">
        <v>0</v>
      </c>
      <c r="E404">
        <v>84.85</v>
      </c>
      <c r="F404">
        <v>3.5710000000000002</v>
      </c>
      <c r="G404">
        <v>222.0384109</v>
      </c>
      <c r="H404">
        <v>6.9080000000000004</v>
      </c>
    </row>
    <row r="405" spans="1:8" x14ac:dyDescent="0.3">
      <c r="A405">
        <v>1</v>
      </c>
      <c r="B405" t="s">
        <v>87</v>
      </c>
      <c r="C405">
        <v>1494122.38</v>
      </c>
      <c r="D405">
        <v>0</v>
      </c>
      <c r="E405">
        <v>77.66</v>
      </c>
      <c r="F405">
        <v>3.62</v>
      </c>
      <c r="G405">
        <v>222.17194570000001</v>
      </c>
      <c r="H405">
        <v>6.9080000000000004</v>
      </c>
    </row>
    <row r="406" spans="1:8" x14ac:dyDescent="0.3">
      <c r="A406">
        <v>1</v>
      </c>
      <c r="B406" t="s">
        <v>88</v>
      </c>
      <c r="C406">
        <v>1582083.4</v>
      </c>
      <c r="D406">
        <v>0</v>
      </c>
      <c r="E406">
        <v>80.489999999999995</v>
      </c>
      <c r="F406">
        <v>3.6379999999999999</v>
      </c>
      <c r="G406">
        <v>222.30548049999999</v>
      </c>
      <c r="H406">
        <v>6.9080000000000004</v>
      </c>
    </row>
    <row r="407" spans="1:8" x14ac:dyDescent="0.3">
      <c r="A407">
        <v>1</v>
      </c>
      <c r="B407" s="1">
        <v>41099</v>
      </c>
      <c r="C407">
        <v>1661767.33</v>
      </c>
      <c r="D407">
        <v>1</v>
      </c>
      <c r="E407">
        <v>83.96</v>
      </c>
      <c r="F407">
        <v>3.73</v>
      </c>
      <c r="G407">
        <v>222.43901529999999</v>
      </c>
      <c r="H407">
        <v>6.9080000000000004</v>
      </c>
    </row>
    <row r="408" spans="1:8" x14ac:dyDescent="0.3">
      <c r="A408">
        <v>1</v>
      </c>
      <c r="B408" t="s">
        <v>89</v>
      </c>
      <c r="C408">
        <v>1517428.87</v>
      </c>
      <c r="D408">
        <v>0</v>
      </c>
      <c r="E408">
        <v>74.97</v>
      </c>
      <c r="F408">
        <v>3.7170000000000001</v>
      </c>
      <c r="G408">
        <v>222.58201930000001</v>
      </c>
      <c r="H408">
        <v>6.9080000000000004</v>
      </c>
    </row>
    <row r="409" spans="1:8" x14ac:dyDescent="0.3">
      <c r="A409">
        <v>1</v>
      </c>
      <c r="B409" t="s">
        <v>90</v>
      </c>
      <c r="C409">
        <v>1506126.06</v>
      </c>
      <c r="D409">
        <v>0</v>
      </c>
      <c r="E409">
        <v>69.87</v>
      </c>
      <c r="F409">
        <v>3.7210000000000001</v>
      </c>
      <c r="G409">
        <v>222.78183859999999</v>
      </c>
      <c r="H409">
        <v>6.9080000000000004</v>
      </c>
    </row>
    <row r="410" spans="1:8" x14ac:dyDescent="0.3">
      <c r="A410">
        <v>1</v>
      </c>
      <c r="B410" t="s">
        <v>91</v>
      </c>
      <c r="C410">
        <v>1437059.26</v>
      </c>
      <c r="D410">
        <v>0</v>
      </c>
      <c r="E410">
        <v>76.08</v>
      </c>
      <c r="F410">
        <v>3.6659999999999999</v>
      </c>
      <c r="G410">
        <v>222.98165789999999</v>
      </c>
      <c r="H410">
        <v>6.9080000000000004</v>
      </c>
    </row>
    <row r="411" spans="1:8" x14ac:dyDescent="0.3">
      <c r="A411">
        <v>1</v>
      </c>
      <c r="B411" s="1">
        <v>41039</v>
      </c>
      <c r="C411">
        <v>1670785.97</v>
      </c>
      <c r="D411">
        <v>0</v>
      </c>
      <c r="E411">
        <v>68.55</v>
      </c>
      <c r="F411">
        <v>3.617</v>
      </c>
      <c r="G411">
        <v>223.18147719999999</v>
      </c>
      <c r="H411">
        <v>6.5730000000000004</v>
      </c>
    </row>
    <row r="412" spans="1:8" x14ac:dyDescent="0.3">
      <c r="A412">
        <v>1</v>
      </c>
      <c r="B412" s="1">
        <v>41253</v>
      </c>
      <c r="C412">
        <v>1573072.81</v>
      </c>
      <c r="D412">
        <v>0</v>
      </c>
      <c r="E412">
        <v>62.99</v>
      </c>
      <c r="F412">
        <v>3.601</v>
      </c>
      <c r="G412">
        <v>223.38129649999999</v>
      </c>
      <c r="H412">
        <v>6.5730000000000004</v>
      </c>
    </row>
    <row r="413" spans="1:8" x14ac:dyDescent="0.3">
      <c r="A413">
        <v>2</v>
      </c>
      <c r="B413" s="1">
        <v>40400</v>
      </c>
      <c r="C413">
        <v>1849921.44</v>
      </c>
      <c r="D413">
        <v>0</v>
      </c>
      <c r="E413">
        <v>63.19</v>
      </c>
      <c r="F413">
        <v>2.633</v>
      </c>
      <c r="G413">
        <v>211.4044906</v>
      </c>
      <c r="H413">
        <v>8.1630000000000003</v>
      </c>
    </row>
    <row r="414" spans="1:8" x14ac:dyDescent="0.3">
      <c r="A414">
        <v>2</v>
      </c>
      <c r="B414" t="s">
        <v>28</v>
      </c>
      <c r="C414">
        <v>1794355.49</v>
      </c>
      <c r="D414">
        <v>0</v>
      </c>
      <c r="E414">
        <v>65.8</v>
      </c>
      <c r="F414">
        <v>2.72</v>
      </c>
      <c r="G414">
        <v>211.47132859999999</v>
      </c>
      <c r="H414">
        <v>8.1630000000000003</v>
      </c>
    </row>
    <row r="415" spans="1:8" x14ac:dyDescent="0.3">
      <c r="A415">
        <v>2</v>
      </c>
      <c r="B415" t="s">
        <v>29</v>
      </c>
      <c r="C415">
        <v>1737947.64</v>
      </c>
      <c r="D415">
        <v>0</v>
      </c>
      <c r="E415">
        <v>68.5</v>
      </c>
      <c r="F415">
        <v>2.7250000000000001</v>
      </c>
      <c r="G415">
        <v>211.51872080000001</v>
      </c>
      <c r="H415">
        <v>8.1630000000000003</v>
      </c>
    </row>
    <row r="416" spans="1:8" x14ac:dyDescent="0.3">
      <c r="A416">
        <v>2</v>
      </c>
      <c r="B416" t="s">
        <v>30</v>
      </c>
      <c r="C416">
        <v>1802755.11</v>
      </c>
      <c r="D416">
        <v>0</v>
      </c>
      <c r="E416">
        <v>66.239999999999995</v>
      </c>
      <c r="F416">
        <v>2.7160000000000002</v>
      </c>
      <c r="G416">
        <v>211.5661131</v>
      </c>
      <c r="H416">
        <v>8.1630000000000003</v>
      </c>
    </row>
    <row r="417" spans="1:8" x14ac:dyDescent="0.3">
      <c r="A417">
        <v>2</v>
      </c>
      <c r="B417" s="1">
        <v>40309</v>
      </c>
      <c r="C417">
        <v>1939061.41</v>
      </c>
      <c r="D417">
        <v>0</v>
      </c>
      <c r="E417">
        <v>57.85</v>
      </c>
      <c r="F417">
        <v>2.6890000000000001</v>
      </c>
      <c r="G417">
        <v>211.61350530000001</v>
      </c>
      <c r="H417">
        <v>8.1630000000000003</v>
      </c>
    </row>
    <row r="418" spans="1:8" x14ac:dyDescent="0.3">
      <c r="A418">
        <v>2</v>
      </c>
      <c r="B418" s="1">
        <v>40523</v>
      </c>
      <c r="C418">
        <v>1916812.74</v>
      </c>
      <c r="D418">
        <v>0</v>
      </c>
      <c r="E418">
        <v>59.69</v>
      </c>
      <c r="F418">
        <v>2.7280000000000002</v>
      </c>
      <c r="G418">
        <v>211.6608975</v>
      </c>
      <c r="H418">
        <v>8.1630000000000003</v>
      </c>
    </row>
    <row r="419" spans="1:8" x14ac:dyDescent="0.3">
      <c r="A419">
        <v>2</v>
      </c>
      <c r="B419" t="s">
        <v>31</v>
      </c>
      <c r="C419">
        <v>1956739.17</v>
      </c>
      <c r="D419">
        <v>0</v>
      </c>
      <c r="E419">
        <v>50.81</v>
      </c>
      <c r="F419">
        <v>2.7709999999999999</v>
      </c>
      <c r="G419">
        <v>211.54703040000001</v>
      </c>
      <c r="H419">
        <v>8.1630000000000003</v>
      </c>
    </row>
    <row r="420" spans="1:8" x14ac:dyDescent="0.3">
      <c r="A420">
        <v>2</v>
      </c>
      <c r="B420" t="s">
        <v>32</v>
      </c>
      <c r="C420">
        <v>2658725.29</v>
      </c>
      <c r="D420">
        <v>1</v>
      </c>
      <c r="E420">
        <v>62.98</v>
      </c>
      <c r="F420">
        <v>2.7349999999999999</v>
      </c>
      <c r="G420">
        <v>211.40628670000001</v>
      </c>
      <c r="H420">
        <v>8.1630000000000003</v>
      </c>
    </row>
    <row r="421" spans="1:8" x14ac:dyDescent="0.3">
      <c r="A421">
        <v>2</v>
      </c>
      <c r="B421" s="1">
        <v>40249</v>
      </c>
      <c r="C421">
        <v>2015781.27</v>
      </c>
      <c r="D421">
        <v>0</v>
      </c>
      <c r="E421">
        <v>49.33</v>
      </c>
      <c r="F421">
        <v>2.7080000000000002</v>
      </c>
      <c r="G421">
        <v>211.26554300000001</v>
      </c>
      <c r="H421">
        <v>8.1630000000000003</v>
      </c>
    </row>
    <row r="422" spans="1:8" x14ac:dyDescent="0.3">
      <c r="A422">
        <v>2</v>
      </c>
      <c r="B422" s="1">
        <v>40463</v>
      </c>
      <c r="C422">
        <v>2378726.5499999998</v>
      </c>
      <c r="D422">
        <v>0</v>
      </c>
      <c r="E422">
        <v>45.5</v>
      </c>
      <c r="F422">
        <v>2.843</v>
      </c>
      <c r="G422">
        <v>211.12479930000001</v>
      </c>
      <c r="H422">
        <v>8.1630000000000003</v>
      </c>
    </row>
    <row r="423" spans="1:8" x14ac:dyDescent="0.3">
      <c r="A423">
        <v>2</v>
      </c>
      <c r="B423" t="s">
        <v>33</v>
      </c>
      <c r="C423">
        <v>2609166.75</v>
      </c>
      <c r="D423">
        <v>0</v>
      </c>
      <c r="E423">
        <v>47.55</v>
      </c>
      <c r="F423">
        <v>2.8690000000000002</v>
      </c>
      <c r="G423">
        <v>211.06454579999999</v>
      </c>
      <c r="H423">
        <v>8.1630000000000003</v>
      </c>
    </row>
    <row r="424" spans="1:8" x14ac:dyDescent="0.3">
      <c r="A424">
        <v>3</v>
      </c>
      <c r="B424" t="s">
        <v>18</v>
      </c>
      <c r="C424">
        <v>364076.85</v>
      </c>
      <c r="D424">
        <v>0</v>
      </c>
      <c r="E424">
        <v>83.52</v>
      </c>
      <c r="F424">
        <v>2.637</v>
      </c>
      <c r="G424">
        <v>214.78582589999999</v>
      </c>
      <c r="H424">
        <v>7.343</v>
      </c>
    </row>
    <row r="425" spans="1:8" x14ac:dyDescent="0.3">
      <c r="A425">
        <v>3</v>
      </c>
      <c r="B425" t="s">
        <v>19</v>
      </c>
      <c r="C425">
        <v>357346.48</v>
      </c>
      <c r="D425">
        <v>0</v>
      </c>
      <c r="E425">
        <v>83.79</v>
      </c>
      <c r="F425">
        <v>2.653</v>
      </c>
      <c r="G425">
        <v>214.6660741</v>
      </c>
      <c r="H425">
        <v>7.343</v>
      </c>
    </row>
    <row r="426" spans="1:8" x14ac:dyDescent="0.3">
      <c r="A426">
        <v>3</v>
      </c>
      <c r="B426" s="1">
        <v>40216</v>
      </c>
      <c r="C426">
        <v>381151.72</v>
      </c>
      <c r="D426">
        <v>0</v>
      </c>
      <c r="E426">
        <v>82.2</v>
      </c>
      <c r="F426">
        <v>2.669</v>
      </c>
      <c r="G426">
        <v>214.54632219999999</v>
      </c>
      <c r="H426">
        <v>7.3460000000000001</v>
      </c>
    </row>
    <row r="427" spans="1:8" x14ac:dyDescent="0.3">
      <c r="A427">
        <v>3</v>
      </c>
      <c r="B427" s="1">
        <v>40428</v>
      </c>
      <c r="C427">
        <v>349214.18</v>
      </c>
      <c r="D427">
        <v>0</v>
      </c>
      <c r="E427">
        <v>81.75</v>
      </c>
      <c r="F427">
        <v>2.6419999999999999</v>
      </c>
      <c r="G427">
        <v>214.4265704</v>
      </c>
      <c r="H427">
        <v>7.3460000000000001</v>
      </c>
    </row>
    <row r="428" spans="1:8" x14ac:dyDescent="0.3">
      <c r="A428">
        <v>3</v>
      </c>
      <c r="B428" t="s">
        <v>20</v>
      </c>
      <c r="C428">
        <v>352728.78</v>
      </c>
      <c r="D428">
        <v>0</v>
      </c>
      <c r="E428">
        <v>84.32</v>
      </c>
      <c r="F428">
        <v>2.6230000000000002</v>
      </c>
      <c r="G428">
        <v>214.41764760000001</v>
      </c>
      <c r="H428">
        <v>7.3460000000000001</v>
      </c>
    </row>
    <row r="429" spans="1:8" x14ac:dyDescent="0.3">
      <c r="A429">
        <v>3</v>
      </c>
      <c r="B429" t="s">
        <v>21</v>
      </c>
      <c r="C429">
        <v>352864.49</v>
      </c>
      <c r="D429">
        <v>0</v>
      </c>
      <c r="E429">
        <v>83.32</v>
      </c>
      <c r="F429">
        <v>2.6080000000000001</v>
      </c>
      <c r="G429">
        <v>214.55649679999999</v>
      </c>
      <c r="H429">
        <v>7.3460000000000001</v>
      </c>
    </row>
    <row r="430" spans="1:8" x14ac:dyDescent="0.3">
      <c r="A430">
        <v>3</v>
      </c>
      <c r="B430" t="s">
        <v>22</v>
      </c>
      <c r="C430">
        <v>347955.05</v>
      </c>
      <c r="D430">
        <v>0</v>
      </c>
      <c r="E430">
        <v>82.04</v>
      </c>
      <c r="F430">
        <v>2.64</v>
      </c>
      <c r="G430">
        <v>214.695346</v>
      </c>
      <c r="H430">
        <v>7.3460000000000001</v>
      </c>
    </row>
    <row r="431" spans="1:8" x14ac:dyDescent="0.3">
      <c r="A431">
        <v>3</v>
      </c>
      <c r="B431" s="1">
        <v>40337</v>
      </c>
      <c r="C431">
        <v>402635.76</v>
      </c>
      <c r="D431">
        <v>0</v>
      </c>
      <c r="E431">
        <v>85.13</v>
      </c>
      <c r="F431">
        <v>2.6269999999999998</v>
      </c>
      <c r="G431">
        <v>214.83419520000001</v>
      </c>
      <c r="H431">
        <v>7.3460000000000001</v>
      </c>
    </row>
    <row r="432" spans="1:8" x14ac:dyDescent="0.3">
      <c r="A432">
        <v>3</v>
      </c>
      <c r="B432" t="s">
        <v>23</v>
      </c>
      <c r="C432">
        <v>339597.38</v>
      </c>
      <c r="D432">
        <v>0</v>
      </c>
      <c r="E432">
        <v>86.74</v>
      </c>
      <c r="F432">
        <v>2.6920000000000002</v>
      </c>
      <c r="G432">
        <v>214.97304439999999</v>
      </c>
      <c r="H432">
        <v>7.3460000000000001</v>
      </c>
    </row>
    <row r="433" spans="1:8" x14ac:dyDescent="0.3">
      <c r="A433">
        <v>3</v>
      </c>
      <c r="B433" t="s">
        <v>24</v>
      </c>
      <c r="C433">
        <v>351728.21</v>
      </c>
      <c r="D433">
        <v>0</v>
      </c>
      <c r="E433">
        <v>88.02</v>
      </c>
      <c r="F433">
        <v>2.6640000000000001</v>
      </c>
      <c r="G433">
        <v>214.9314191</v>
      </c>
      <c r="H433">
        <v>7.3460000000000001</v>
      </c>
    </row>
    <row r="434" spans="1:8" x14ac:dyDescent="0.3">
      <c r="A434">
        <v>3</v>
      </c>
      <c r="B434" t="s">
        <v>25</v>
      </c>
      <c r="C434">
        <v>362134.09</v>
      </c>
      <c r="D434">
        <v>0</v>
      </c>
      <c r="E434">
        <v>86.15</v>
      </c>
      <c r="F434">
        <v>2.6190000000000002</v>
      </c>
      <c r="G434">
        <v>214.88979380000001</v>
      </c>
      <c r="H434">
        <v>7.3460000000000001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Touheed Hussain</dc:creator>
  <cp:lastModifiedBy>Touheed Hussain</cp:lastModifiedBy>
  <dcterms:created xsi:type="dcterms:W3CDTF">2015-06-05T18:17:20Z</dcterms:created>
  <dcterms:modified xsi:type="dcterms:W3CDTF">2026-05-03T20:46:49Z</dcterms:modified>
</cp:coreProperties>
</file>